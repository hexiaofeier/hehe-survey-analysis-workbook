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3369494a9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54ba8285f47489a"/>
    <x:sheet xmlns:r="http://schemas.openxmlformats.org/officeDocument/2006/relationships" name="结果索引" sheetId="2" r:id="Rfdd6ffe58b714c78"/>
    <x:sheet xmlns:r="http://schemas.openxmlformats.org/officeDocument/2006/relationships" name="数据分析结论" sheetId="3" r:id="R3f82cbaccdee46ec"/>
    <x:sheet xmlns:r="http://schemas.openxmlformats.org/officeDocument/2006/relationships" name="购买与使用" sheetId="4" r:id="Red2e40f398ea46d0"/>
    <x:sheet xmlns:r="http://schemas.openxmlformats.org/officeDocument/2006/relationships" name="满意度与推荐" sheetId="5" r:id="R9cc7dbb586e7481c"/>
    <x:sheet xmlns:r="http://schemas.openxmlformats.org/officeDocument/2006/relationships" name="差异检验" sheetId="6" r:id="Re28a39fe2c724e28"/>
    <x:sheet xmlns:r="http://schemas.openxmlformats.org/officeDocument/2006/relationships" name="数据质检" sheetId="7" r:id="Rbc8728c38a8244fa"/>
    <x:sheet xmlns:r="http://schemas.openxmlformats.org/officeDocument/2006/relationships" name="题目字典" sheetId="8" r:id="R1014b046906a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"/>
    <x:numFmt numFmtId="202" formatCode="0.00"/>
    <x:numFmt numFmtId="203" formatCode="0.0"/>
    <x:numFmt numFmtId="204" formatCode="0.00E+00"/>
  </x:numFmts>
  <x:fonts count="4">
    <x:font>
      <x:sz val="11"/>
      <x:name val="Carlito"/>
    </x:font>
    <x:font>
      <x:sz val="10"/>
      <x:color rgb="FF263B48"/>
      <x:name val="微软雅黑"/>
    </x:font>
    <x:font>
      <x:b/>
      <x:sz val="15"/>
      <x:color rgb="FF214557"/>
      <x:name val="微软雅黑"/>
    </x:font>
    <x:font>
      <x:b/>
      <x:sz val="10"/>
      <x:color rgb="FFFFFFFF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rgb="FF244C60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D1E8B2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57b15c73e4557" /><Relationship Type="http://schemas.openxmlformats.org/officeDocument/2006/relationships/theme" Target="/xl/theme/theme1.xml" Id="R08899e0ea12c4f4e" /><Relationship Type="http://schemas.openxmlformats.org/officeDocument/2006/relationships/sharedStrings" Target="/xl/sharedStrings.xml" Id="R5bc1f61556e847fa" /><Relationship Type="http://schemas.openxmlformats.org/officeDocument/2006/relationships/worksheet" Target="/xl/worksheets/sheet1.xml" Id="R354ba8285f47489a" /><Relationship Type="http://schemas.openxmlformats.org/officeDocument/2006/relationships/worksheet" Target="/xl/worksheets/sheet2.xml" Id="Rfdd6ffe58b714c78" /><Relationship Type="http://schemas.openxmlformats.org/officeDocument/2006/relationships/worksheet" Target="/xl/worksheets/sheet3.xml" Id="R3f82cbaccdee46ec" /><Relationship Type="http://schemas.openxmlformats.org/officeDocument/2006/relationships/worksheet" Target="/xl/worksheets/sheet4.xml" Id="Red2e40f398ea46d0" /><Relationship Type="http://schemas.openxmlformats.org/officeDocument/2006/relationships/worksheet" Target="/xl/worksheets/sheet5.xml" Id="R9cc7dbb586e7481c" /><Relationship Type="http://schemas.openxmlformats.org/officeDocument/2006/relationships/worksheet" Target="/xl/worksheets/sheet6.xml" Id="Re28a39fe2c724e28" /><Relationship Type="http://schemas.openxmlformats.org/officeDocument/2006/relationships/worksheet" Target="/xl/worksheets/sheet7.xml" Id="Rbc8728c38a8244fa" /><Relationship Type="http://schemas.openxmlformats.org/officeDocument/2006/relationships/worksheet" Target="/xl/worksheets/sheet8.xml" Id="R1014b046906a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105" hidden="0" customWidth="1"/>
  </x:cols>
  <x:sheetData>
    <x:row r="1" ht="29" customHeight="1">
      <x:c r="A1" s="3"/>
      <x:c r="B1" s="3"/>
    </x:row>
    <x:row r="2" ht="36" customHeight="1">
      <x:c r="A2" s="5" t="str">
        <x:v>扫地机器人问卷统计 · 使用说明</x:v>
      </x:c>
      <x:c r="B2" s="3"/>
    </x:row>
    <x:row r="3" ht="29" customHeight="1">
      <x:c r="A3" s="3"/>
      <x:c r="B3" s="3"/>
    </x:row>
    <x:row r="4" ht="35" customHeight="1">
      <x:c r="A4" s="7" t="str">
        <x:v>项目</x:v>
      </x:c>
      <x:c r="B4" s="7" t="str">
        <x:v>说明</x:v>
      </x:c>
    </x:row>
    <x:row r="5" ht="58" customHeight="1">
      <x:c r="A5" s="3" t="str">
        <x:v>本例性质</x:v>
      </x:c>
      <x:c r="B5" s="3" t="str">
        <x:v>完全合成的120份扫地机器人答卷，数据版本synthetic-v1。仅演示统计与交付，不代表真实市场。</x:v>
      </x:c>
    </x:row>
    <x:row r="6" ht="58" customHeight="1">
      <x:c r="A6" s="8" t="str">
        <x:v>阅读顺序</x:v>
      </x:c>
      <x:c r="B6" s="8" t="str">
        <x:v>先看“数据分析结论”，再看“购买与使用”“满意度与推荐”；“结果索引”可核对每项数字。</x:v>
      </x:c>
    </x:row>
    <x:row r="7" ht="58" customHeight="1">
      <x:c r="A7" s="3" t="str">
        <x:v>比较人群</x:v>
      </x:c>
      <x:c r="B7" s="3" t="str">
        <x:v>总体120份，养宠与无宠家庭各60份；每题按实际有效回答人数计算。</x:v>
      </x:c>
    </x:row>
    <x:row r="8" ht="58" customHeight="1">
      <x:c r="A8" s="8" t="str">
        <x:v>多选分母</x:v>
      </x:c>
      <x:c r="B8" s="8" t="str">
        <x:v>Q3的作答状态=1才进入分母；全0代表有效未选，空白未答排除。选择率合计可超过100%。</x:v>
      </x:c>
    </x:row>
    <x:row r="9" ht="58" customHeight="1">
      <x:c r="A9" s="3" t="str">
        <x:v>售后路由</x:v>
      </x:c>
      <x:c r="B9" s="3" t="str">
        <x:v>Q6只向Q5联系过售后的家庭展示，再按该题实际有效回答计算。</x:v>
      </x:c>
    </x:row>
    <x:row r="10" ht="58" customHeight="1">
      <x:c r="A10" s="8" t="str">
        <x:v>量表与NPS</x:v>
      </x:c>
      <x:c r="B10" s="8" t="str">
        <x:v>满意度及兴趣为1—5分，4—5分为TOP2；NPS为9—10分推荐者比例减0—6分贬损者比例，乘100。</x:v>
      </x:c>
    </x:row>
    <x:row r="11" ht="58" customHeight="1">
      <x:c r="A11" s="3" t="str">
        <x:v>配对比较</x:v>
      </x:c>
      <x:c r="B11" s="3" t="str">
        <x:v>Q8/Q9单题统计使用各自有效人数；“差异检验”只使用两题均回答的共同ID。</x:v>
      </x:c>
    </x:row>
    <x:row r="12" ht="58" customHeight="1">
      <x:c r="A12" s="8" t="str">
        <x:v>更新数据</x:v>
      </x:c>
      <x:c r="B12" s="8" t="str">
        <x:v>在仓库根目录运行 python scripts/analyze_example.py --output recomputed。生成新结果CSV/JSON，再更新索引、样本量、检验与解读。</x:v>
      </x:c>
    </x:row>
    <x:row r="13" ht="58" customHeight="1">
      <x:c r="A13" s="3" t="str">
        <x:v>公式与脚本</x:v>
      </x:c>
      <x:c r="B13" s="3" t="str">
        <x:v>题目块比例读取结果索引的计算值；索引分子/分母由脚本统计。单独编辑CSV不会自动刷新当前Excel。</x:v>
      </x:c>
    </x:row>
    <x:row r="14" ht="58" customHeight="1">
      <x:c r="A14" s="8" t="str">
        <x:v>文件位置</x:v>
      </x:c>
      <x:c r="B14" s="8" t="str">
        <x:v>原数据：examples/robot-vacuum/responses.csv；问卷和字段定义：同目录README.md；没有权重。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8" hidden="0" customWidth="1"/>
  </x:cols>
  <x:sheetData>
    <x:row r="1" ht="2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5" t="str">
        <x:v>结果索引 · 分子、分母与结果位置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5" customHeight="1">
      <x:c r="A4" s="7" t="str">
        <x:v>结果ID</x:v>
      </x:c>
      <x:c r="B4" s="7" t="str">
        <x:v>题号／变量</x:v>
      </x:c>
      <x:c r="C4" s="7" t="str">
        <x:v>指标／选项</x:v>
      </x:c>
      <x:c r="D4" s="7" t="str">
        <x:v>人群</x:v>
      </x:c>
      <x:c r="E4" s="7" t="str">
        <x:v>分子</x:v>
      </x:c>
      <x:c r="F4" s="7" t="str">
        <x:v>有效Base</x:v>
      </x:c>
      <x:c r="G4" s="7" t="str">
        <x:v>分母类型</x:v>
      </x:c>
      <x:c r="H4" s="7" t="str">
        <x:v>结果</x:v>
      </x:c>
      <x:c r="I4" s="7" t="str">
        <x:v>实际样本量</x:v>
      </x:c>
      <x:c r="J4" s="7" t="str">
        <x:v>权重版本</x:v>
      </x:c>
      <x:c r="K4" s="7" t="str">
        <x:v>来源样本</x:v>
      </x:c>
      <x:c r="L4" s="7" t="str">
        <x:v>结果位置</x:v>
      </x:c>
    </x:row>
    <x:row r="5" ht="29" customHeight="1">
      <x:c r="A5" s="3" t="str">
        <x:v>R0001</x:v>
      </x:c>
      <x:c r="B5" s="3" t="str">
        <x:v>Q1/pet</x:v>
      </x:c>
      <x:c r="C5" s="3" t="str">
        <x:v>proportion/养宠</x:v>
      </x:c>
      <x:c r="D5" s="3" t="str">
        <x:v>总体</x:v>
      </x:c>
      <x:c r="E5" s="3" t="n">
        <x:v>60</x:v>
      </x:c>
      <x:c r="F5" s="3" t="n">
        <x:v>120</x:v>
      </x:c>
      <x:c r="G5" s="3" t="str">
        <x:v>有效人数</x:v>
      </x:c>
      <x:c r="H5" s="9" t="n">
        <x:f>IF(F5=0,"—",E5/F5)</x:f>
        <x:v>0.5</x:v>
      </x:c>
      <x:c r="I5" s="3" t="n">
        <x:v>120</x:v>
      </x:c>
      <x:c r="J5" s="3" t="str">
        <x:v>未加权</x:v>
      </x:c>
      <x:c r="K5" s="3" t="str">
        <x:v>synthetic-v1</x:v>
      </x:c>
      <x:c r="L5" s="3" t="str">
        <x:v>购买与使用!C5</x:v>
      </x:c>
    </x:row>
    <x:row r="6" ht="29" customHeight="1">
      <x:c r="A6" s="8" t="str">
        <x:v>R0002</x:v>
      </x:c>
      <x:c r="B6" s="8" t="str">
        <x:v>Q1/pet</x:v>
      </x:c>
      <x:c r="C6" s="8" t="str">
        <x:v>proportion/养宠</x:v>
      </x:c>
      <x:c r="D6" s="8" t="str">
        <x:v>养宠家庭</x:v>
      </x:c>
      <x:c r="E6" s="8" t="n">
        <x:v>60</x:v>
      </x:c>
      <x:c r="F6" s="8" t="n">
        <x:v>60</x:v>
      </x:c>
      <x:c r="G6" s="8" t="str">
        <x:v>有效人数</x:v>
      </x:c>
      <x:c r="H6" s="10" t="n">
        <x:f>IF(F6=0,"—",E6/F6)</x:f>
        <x:v>1</x:v>
      </x:c>
      <x:c r="I6" s="8" t="n">
        <x:v>60</x:v>
      </x:c>
      <x:c r="J6" s="8" t="str">
        <x:v>未加权</x:v>
      </x:c>
      <x:c r="K6" s="8" t="str">
        <x:v>synthetic-v1</x:v>
      </x:c>
      <x:c r="L6" s="8" t="str">
        <x:v>购买与使用!D5</x:v>
      </x:c>
    </x:row>
    <x:row r="7" ht="29" customHeight="1">
      <x:c r="A7" s="3" t="str">
        <x:v>R0003</x:v>
      </x:c>
      <x:c r="B7" s="3" t="str">
        <x:v>Q1/pet</x:v>
      </x:c>
      <x:c r="C7" s="3" t="str">
        <x:v>proportion/养宠</x:v>
      </x:c>
      <x:c r="D7" s="3" t="str">
        <x:v>无宠家庭</x:v>
      </x:c>
      <x:c r="E7" s="3" t="n">
        <x:v>0</x:v>
      </x:c>
      <x:c r="F7" s="3" t="n">
        <x:v>60</x:v>
      </x:c>
      <x:c r="G7" s="3" t="str">
        <x:v>有效人数</x:v>
      </x:c>
      <x:c r="H7" s="9" t="n">
        <x:f>IF(F7=0,"—",E7/F7)</x:f>
        <x:v>0</x:v>
      </x:c>
      <x:c r="I7" s="3" t="n">
        <x:v>60</x:v>
      </x:c>
      <x:c r="J7" s="3" t="str">
        <x:v>未加权</x:v>
      </x:c>
      <x:c r="K7" s="3" t="str">
        <x:v>synthetic-v1</x:v>
      </x:c>
      <x:c r="L7" s="3" t="str">
        <x:v>购买与使用!E5</x:v>
      </x:c>
    </x:row>
    <x:row r="8" ht="29" customHeight="1">
      <x:c r="A8" s="8" t="str">
        <x:v>R0004</x:v>
      </x:c>
      <x:c r="B8" s="8" t="str">
        <x:v>Q1/pet</x:v>
      </x:c>
      <x:c r="C8" s="8" t="str">
        <x:v>proportion/无宠</x:v>
      </x:c>
      <x:c r="D8" s="8" t="str">
        <x:v>总体</x:v>
      </x:c>
      <x:c r="E8" s="8" t="n">
        <x:v>60</x:v>
      </x:c>
      <x:c r="F8" s="8" t="n">
        <x:v>120</x:v>
      </x:c>
      <x:c r="G8" s="8" t="str">
        <x:v>有效人数</x:v>
      </x:c>
      <x:c r="H8" s="10" t="n">
        <x:f>IF(F8=0,"—",E8/F8)</x:f>
        <x:v>0.5</x:v>
      </x:c>
      <x:c r="I8" s="8" t="n">
        <x:v>120</x:v>
      </x:c>
      <x:c r="J8" s="8" t="str">
        <x:v>未加权</x:v>
      </x:c>
      <x:c r="K8" s="8" t="str">
        <x:v>synthetic-v1</x:v>
      </x:c>
      <x:c r="L8" s="8" t="str">
        <x:v>购买与使用!C6</x:v>
      </x:c>
    </x:row>
    <x:row r="9" ht="29" customHeight="1">
      <x:c r="A9" s="3" t="str">
        <x:v>R0005</x:v>
      </x:c>
      <x:c r="B9" s="3" t="str">
        <x:v>Q1/pet</x:v>
      </x:c>
      <x:c r="C9" s="3" t="str">
        <x:v>proportion/无宠</x:v>
      </x:c>
      <x:c r="D9" s="3" t="str">
        <x:v>养宠家庭</x:v>
      </x:c>
      <x:c r="E9" s="3" t="n">
        <x:v>0</x:v>
      </x:c>
      <x:c r="F9" s="3" t="n">
        <x:v>60</x:v>
      </x:c>
      <x:c r="G9" s="3" t="str">
        <x:v>有效人数</x:v>
      </x:c>
      <x:c r="H9" s="9" t="n">
        <x:f>IF(F9=0,"—",E9/F9)</x:f>
        <x:v>0</x:v>
      </x:c>
      <x:c r="I9" s="3" t="n">
        <x:v>60</x:v>
      </x:c>
      <x:c r="J9" s="3" t="str">
        <x:v>未加权</x:v>
      </x:c>
      <x:c r="K9" s="3" t="str">
        <x:v>synthetic-v1</x:v>
      </x:c>
      <x:c r="L9" s="3" t="str">
        <x:v>购买与使用!D6</x:v>
      </x:c>
    </x:row>
    <x:row r="10" ht="29" customHeight="1">
      <x:c r="A10" s="8" t="str">
        <x:v>R0006</x:v>
      </x:c>
      <x:c r="B10" s="8" t="str">
        <x:v>Q1/pet</x:v>
      </x:c>
      <x:c r="C10" s="8" t="str">
        <x:v>proportion/无宠</x:v>
      </x:c>
      <x:c r="D10" s="8" t="str">
        <x:v>无宠家庭</x:v>
      </x:c>
      <x:c r="E10" s="8" t="n">
        <x:v>60</x:v>
      </x:c>
      <x:c r="F10" s="8" t="n">
        <x:v>60</x:v>
      </x:c>
      <x:c r="G10" s="8" t="str">
        <x:v>有效人数</x:v>
      </x:c>
      <x:c r="H10" s="10" t="n">
        <x:f>IF(F10=0,"—",E10/F10)</x:f>
        <x:v>1</x:v>
      </x:c>
      <x:c r="I10" s="8" t="n">
        <x:v>60</x:v>
      </x:c>
      <x:c r="J10" s="8" t="str">
        <x:v>未加权</x:v>
      </x:c>
      <x:c r="K10" s="8" t="str">
        <x:v>synthetic-v1</x:v>
      </x:c>
      <x:c r="L10" s="8" t="str">
        <x:v>购买与使用!E6</x:v>
      </x:c>
    </x:row>
    <x:row r="11" ht="29" customHeight="1">
      <x:c r="A11" s="3" t="str">
        <x:v>R0007</x:v>
      </x:c>
      <x:c r="B11" s="3" t="str">
        <x:v>Q2/frequency</x:v>
      </x:c>
      <x:c r="C11" s="3" t="str">
        <x:v>proportion/1—2天</x:v>
      </x:c>
      <x:c r="D11" s="3" t="str">
        <x:v>总体</x:v>
      </x:c>
      <x:c r="E11" s="3" t="n">
        <x:v>32</x:v>
      </x:c>
      <x:c r="F11" s="3" t="n">
        <x:v>120</x:v>
      </x:c>
      <x:c r="G11" s="3" t="str">
        <x:v>有效人数</x:v>
      </x:c>
      <x:c r="H11" s="9" t="n">
        <x:f>IF(F11=0,"—",E11/F11)</x:f>
        <x:v>0.26666666666666666</x:v>
      </x:c>
      <x:c r="I11" s="3" t="n">
        <x:v>120</x:v>
      </x:c>
      <x:c r="J11" s="3" t="str">
        <x:v>未加权</x:v>
      </x:c>
      <x:c r="K11" s="3" t="str">
        <x:v>synthetic-v1</x:v>
      </x:c>
      <x:c r="L11" s="3" t="str">
        <x:v>购买与使用!C10</x:v>
      </x:c>
    </x:row>
    <x:row r="12" ht="29" customHeight="1">
      <x:c r="A12" s="8" t="str">
        <x:v>R0008</x:v>
      </x:c>
      <x:c r="B12" s="8" t="str">
        <x:v>Q2/frequency</x:v>
      </x:c>
      <x:c r="C12" s="8" t="str">
        <x:v>proportion/1—2天</x:v>
      </x:c>
      <x:c r="D12" s="8" t="str">
        <x:v>养宠家庭</x:v>
      </x:c>
      <x:c r="E12" s="8" t="n">
        <x:v>11</x:v>
      </x:c>
      <x:c r="F12" s="8" t="n">
        <x:v>60</x:v>
      </x:c>
      <x:c r="G12" s="8" t="str">
        <x:v>有效人数</x:v>
      </x:c>
      <x:c r="H12" s="10" t="n">
        <x:f>IF(F12=0,"—",E12/F12)</x:f>
        <x:v>0.18333333333333332</x:v>
      </x:c>
      <x:c r="I12" s="8" t="n">
        <x:v>60</x:v>
      </x:c>
      <x:c r="J12" s="8" t="str">
        <x:v>未加权</x:v>
      </x:c>
      <x:c r="K12" s="8" t="str">
        <x:v>synthetic-v1</x:v>
      </x:c>
      <x:c r="L12" s="8" t="str">
        <x:v>购买与使用!D10</x:v>
      </x:c>
    </x:row>
    <x:row r="13" ht="29" customHeight="1">
      <x:c r="A13" s="3" t="str">
        <x:v>R0009</x:v>
      </x:c>
      <x:c r="B13" s="3" t="str">
        <x:v>Q2/frequency</x:v>
      </x:c>
      <x:c r="C13" s="3" t="str">
        <x:v>proportion/1—2天</x:v>
      </x:c>
      <x:c r="D13" s="3" t="str">
        <x:v>无宠家庭</x:v>
      </x:c>
      <x:c r="E13" s="3" t="n">
        <x:v>21</x:v>
      </x:c>
      <x:c r="F13" s="3" t="n">
        <x:v>60</x:v>
      </x:c>
      <x:c r="G13" s="3" t="str">
        <x:v>有效人数</x:v>
      </x:c>
      <x:c r="H13" s="9" t="n">
        <x:f>IF(F13=0,"—",E13/F13)</x:f>
        <x:v>0.35</x:v>
      </x:c>
      <x:c r="I13" s="3" t="n">
        <x:v>60</x:v>
      </x:c>
      <x:c r="J13" s="3" t="str">
        <x:v>未加权</x:v>
      </x:c>
      <x:c r="K13" s="3" t="str">
        <x:v>synthetic-v1</x:v>
      </x:c>
      <x:c r="L13" s="3" t="str">
        <x:v>购买与使用!E10</x:v>
      </x:c>
    </x:row>
    <x:row r="14" ht="29" customHeight="1">
      <x:c r="A14" s="8" t="str">
        <x:v>R0010</x:v>
      </x:c>
      <x:c r="B14" s="8" t="str">
        <x:v>Q2/frequency</x:v>
      </x:c>
      <x:c r="C14" s="8" t="str">
        <x:v>proportion/3—4天</x:v>
      </x:c>
      <x:c r="D14" s="8" t="str">
        <x:v>总体</x:v>
      </x:c>
      <x:c r="E14" s="8" t="n">
        <x:v>45</x:v>
      </x:c>
      <x:c r="F14" s="8" t="n">
        <x:v>120</x:v>
      </x:c>
      <x:c r="G14" s="8" t="str">
        <x:v>有效人数</x:v>
      </x:c>
      <x:c r="H14" s="10" t="n">
        <x:f>IF(F14=0,"—",E14/F14)</x:f>
        <x:v>0.375</x:v>
      </x:c>
      <x:c r="I14" s="8" t="n">
        <x:v>120</x:v>
      </x:c>
      <x:c r="J14" s="8" t="str">
        <x:v>未加权</x:v>
      </x:c>
      <x:c r="K14" s="8" t="str">
        <x:v>synthetic-v1</x:v>
      </x:c>
      <x:c r="L14" s="8" t="str">
        <x:v>购买与使用!C11</x:v>
      </x:c>
    </x:row>
    <x:row r="15" ht="29" customHeight="1">
      <x:c r="A15" s="3" t="str">
        <x:v>R0011</x:v>
      </x:c>
      <x:c r="B15" s="3" t="str">
        <x:v>Q2/frequency</x:v>
      </x:c>
      <x:c r="C15" s="3" t="str">
        <x:v>proportion/3—4天</x:v>
      </x:c>
      <x:c r="D15" s="3" t="str">
        <x:v>养宠家庭</x:v>
      </x:c>
      <x:c r="E15" s="3" t="n">
        <x:v>17</x:v>
      </x:c>
      <x:c r="F15" s="3" t="n">
        <x:v>60</x:v>
      </x:c>
      <x:c r="G15" s="3" t="str">
        <x:v>有效人数</x:v>
      </x:c>
      <x:c r="H15" s="9" t="n">
        <x:f>IF(F15=0,"—",E15/F15)</x:f>
        <x:v>0.2833333333333333</x:v>
      </x:c>
      <x:c r="I15" s="3" t="n">
        <x:v>60</x:v>
      </x:c>
      <x:c r="J15" s="3" t="str">
        <x:v>未加权</x:v>
      </x:c>
      <x:c r="K15" s="3" t="str">
        <x:v>synthetic-v1</x:v>
      </x:c>
      <x:c r="L15" s="3" t="str">
        <x:v>购买与使用!D11</x:v>
      </x:c>
    </x:row>
    <x:row r="16" ht="29" customHeight="1">
      <x:c r="A16" s="8" t="str">
        <x:v>R0012</x:v>
      </x:c>
      <x:c r="B16" s="8" t="str">
        <x:v>Q2/frequency</x:v>
      </x:c>
      <x:c r="C16" s="8" t="str">
        <x:v>proportion/3—4天</x:v>
      </x:c>
      <x:c r="D16" s="8" t="str">
        <x:v>无宠家庭</x:v>
      </x:c>
      <x:c r="E16" s="8" t="n">
        <x:v>28</x:v>
      </x:c>
      <x:c r="F16" s="8" t="n">
        <x:v>60</x:v>
      </x:c>
      <x:c r="G16" s="8" t="str">
        <x:v>有效人数</x:v>
      </x:c>
      <x:c r="H16" s="10" t="n">
        <x:f>IF(F16=0,"—",E16/F16)</x:f>
        <x:v>0.4666666666666667</x:v>
      </x:c>
      <x:c r="I16" s="8" t="n">
        <x:v>60</x:v>
      </x:c>
      <x:c r="J16" s="8" t="str">
        <x:v>未加权</x:v>
      </x:c>
      <x:c r="K16" s="8" t="str">
        <x:v>synthetic-v1</x:v>
      </x:c>
      <x:c r="L16" s="8" t="str">
        <x:v>购买与使用!E11</x:v>
      </x:c>
    </x:row>
    <x:row r="17" ht="29" customHeight="1">
      <x:c r="A17" s="3" t="str">
        <x:v>R0013</x:v>
      </x:c>
      <x:c r="B17" s="3" t="str">
        <x:v>Q2/frequency</x:v>
      </x:c>
      <x:c r="C17" s="3" t="str">
        <x:v>proportion/5—7天</x:v>
      </x:c>
      <x:c r="D17" s="3" t="str">
        <x:v>总体</x:v>
      </x:c>
      <x:c r="E17" s="3" t="n">
        <x:v>43</x:v>
      </x:c>
      <x:c r="F17" s="3" t="n">
        <x:v>120</x:v>
      </x:c>
      <x:c r="G17" s="3" t="str">
        <x:v>有效人数</x:v>
      </x:c>
      <x:c r="H17" s="9" t="n">
        <x:f>IF(F17=0,"—",E17/F17)</x:f>
        <x:v>0.35833333333333334</x:v>
      </x:c>
      <x:c r="I17" s="3" t="n">
        <x:v>120</x:v>
      </x:c>
      <x:c r="J17" s="3" t="str">
        <x:v>未加权</x:v>
      </x:c>
      <x:c r="K17" s="3" t="str">
        <x:v>synthetic-v1</x:v>
      </x:c>
      <x:c r="L17" s="3" t="str">
        <x:v>购买与使用!C12</x:v>
      </x:c>
    </x:row>
    <x:row r="18" ht="29" customHeight="1">
      <x:c r="A18" s="8" t="str">
        <x:v>R0014</x:v>
      </x:c>
      <x:c r="B18" s="8" t="str">
        <x:v>Q2/frequency</x:v>
      </x:c>
      <x:c r="C18" s="8" t="str">
        <x:v>proportion/5—7天</x:v>
      </x:c>
      <x:c r="D18" s="8" t="str">
        <x:v>养宠家庭</x:v>
      </x:c>
      <x:c r="E18" s="8" t="n">
        <x:v>32</x:v>
      </x:c>
      <x:c r="F18" s="8" t="n">
        <x:v>60</x:v>
      </x:c>
      <x:c r="G18" s="8" t="str">
        <x:v>有效人数</x:v>
      </x:c>
      <x:c r="H18" s="10" t="n">
        <x:f>IF(F18=0,"—",E18/F18)</x:f>
        <x:v>0.5333333333333333</x:v>
      </x:c>
      <x:c r="I18" s="8" t="n">
        <x:v>60</x:v>
      </x:c>
      <x:c r="J18" s="8" t="str">
        <x:v>未加权</x:v>
      </x:c>
      <x:c r="K18" s="8" t="str">
        <x:v>synthetic-v1</x:v>
      </x:c>
      <x:c r="L18" s="8" t="str">
        <x:v>购买与使用!D12</x:v>
      </x:c>
    </x:row>
    <x:row r="19" ht="29" customHeight="1">
      <x:c r="A19" s="3" t="str">
        <x:v>R0015</x:v>
      </x:c>
      <x:c r="B19" s="3" t="str">
        <x:v>Q2/frequency</x:v>
      </x:c>
      <x:c r="C19" s="3" t="str">
        <x:v>proportion/5—7天</x:v>
      </x:c>
      <x:c r="D19" s="3" t="str">
        <x:v>无宠家庭</x:v>
      </x:c>
      <x:c r="E19" s="3" t="n">
        <x:v>11</x:v>
      </x:c>
      <x:c r="F19" s="3" t="n">
        <x:v>60</x:v>
      </x:c>
      <x:c r="G19" s="3" t="str">
        <x:v>有效人数</x:v>
      </x:c>
      <x:c r="H19" s="9" t="n">
        <x:f>IF(F19=0,"—",E19/F19)</x:f>
        <x:v>0.18333333333333332</x:v>
      </x:c>
      <x:c r="I19" s="3" t="n">
        <x:v>60</x:v>
      </x:c>
      <x:c r="J19" s="3" t="str">
        <x:v>未加权</x:v>
      </x:c>
      <x:c r="K19" s="3" t="str">
        <x:v>synthetic-v1</x:v>
      </x:c>
      <x:c r="L19" s="3" t="str">
        <x:v>购买与使用!E12</x:v>
      </x:c>
    </x:row>
    <x:row r="20" ht="29" customHeight="1">
      <x:c r="A20" s="8" t="str">
        <x:v>R0016</x:v>
      </x:c>
      <x:c r="B20" s="8" t="str">
        <x:v>Q3/problems</x:v>
      </x:c>
      <x:c r="C20" s="8" t="str">
        <x:v>proportion/毛发缠绕</x:v>
      </x:c>
      <x:c r="D20" s="8" t="str">
        <x:v>总体</x:v>
      </x:c>
      <x:c r="E20" s="8" t="n">
        <x:v>55</x:v>
      </x:c>
      <x:c r="F20" s="8" t="n">
        <x:v>114</x:v>
      </x:c>
      <x:c r="G20" s="8" t="str">
        <x:v>有效人数</x:v>
      </x:c>
      <x:c r="H20" s="10" t="n">
        <x:f>IF(F20=0,"—",E20/F20)</x:f>
        <x:v>0.4824561403508772</x:v>
      </x:c>
      <x:c r="I20" s="8" t="n">
        <x:v>114</x:v>
      </x:c>
      <x:c r="J20" s="8" t="str">
        <x:v>未加权</x:v>
      </x:c>
      <x:c r="K20" s="8" t="str">
        <x:v>synthetic-v1</x:v>
      </x:c>
      <x:c r="L20" s="8" t="str">
        <x:v>购买与使用!C16</x:v>
      </x:c>
    </x:row>
    <x:row r="21" ht="29" customHeight="1">
      <x:c r="A21" s="3" t="str">
        <x:v>R0017</x:v>
      </x:c>
      <x:c r="B21" s="3" t="str">
        <x:v>Q3/problems</x:v>
      </x:c>
      <x:c r="C21" s="3" t="str">
        <x:v>proportion/毛发缠绕</x:v>
      </x:c>
      <x:c r="D21" s="3" t="str">
        <x:v>养宠家庭</x:v>
      </x:c>
      <x:c r="E21" s="3" t="n">
        <x:v>41</x:v>
      </x:c>
      <x:c r="F21" s="3" t="n">
        <x:v>57</x:v>
      </x:c>
      <x:c r="G21" s="3" t="str">
        <x:v>有效人数</x:v>
      </x:c>
      <x:c r="H21" s="9" t="n">
        <x:f>IF(F21=0,"—",E21/F21)</x:f>
        <x:v>0.7192982456140351</x:v>
      </x:c>
      <x:c r="I21" s="3" t="n">
        <x:v>57</x:v>
      </x:c>
      <x:c r="J21" s="3" t="str">
        <x:v>未加权</x:v>
      </x:c>
      <x:c r="K21" s="3" t="str">
        <x:v>synthetic-v1</x:v>
      </x:c>
      <x:c r="L21" s="3" t="str">
        <x:v>购买与使用!D16</x:v>
      </x:c>
    </x:row>
    <x:row r="22" ht="29" customHeight="1">
      <x:c r="A22" s="8" t="str">
        <x:v>R0018</x:v>
      </x:c>
      <x:c r="B22" s="8" t="str">
        <x:v>Q3/problems</x:v>
      </x:c>
      <x:c r="C22" s="8" t="str">
        <x:v>proportion/毛发缠绕</x:v>
      </x:c>
      <x:c r="D22" s="8" t="str">
        <x:v>无宠家庭</x:v>
      </x:c>
      <x:c r="E22" s="8" t="n">
        <x:v>14</x:v>
      </x:c>
      <x:c r="F22" s="8" t="n">
        <x:v>57</x:v>
      </x:c>
      <x:c r="G22" s="8" t="str">
        <x:v>有效人数</x:v>
      </x:c>
      <x:c r="H22" s="10" t="n">
        <x:f>IF(F22=0,"—",E22/F22)</x:f>
        <x:v>0.24561403508771928</x:v>
      </x:c>
      <x:c r="I22" s="8" t="n">
        <x:v>57</x:v>
      </x:c>
      <x:c r="J22" s="8" t="str">
        <x:v>未加权</x:v>
      </x:c>
      <x:c r="K22" s="8" t="str">
        <x:v>synthetic-v1</x:v>
      </x:c>
      <x:c r="L22" s="8" t="str">
        <x:v>购买与使用!E16</x:v>
      </x:c>
    </x:row>
    <x:row r="23" ht="29" customHeight="1">
      <x:c r="A23" s="3" t="str">
        <x:v>R0019</x:v>
      </x:c>
      <x:c r="B23" s="3" t="str">
        <x:v>Q3/problems</x:v>
      </x:c>
      <x:c r="C23" s="3" t="str">
        <x:v>proportion/边角清洁不净</x:v>
      </x:c>
      <x:c r="D23" s="3" t="str">
        <x:v>总体</x:v>
      </x:c>
      <x:c r="E23" s="3" t="n">
        <x:v>43</x:v>
      </x:c>
      <x:c r="F23" s="3" t="n">
        <x:v>114</x:v>
      </x:c>
      <x:c r="G23" s="3" t="str">
        <x:v>有效人数</x:v>
      </x:c>
      <x:c r="H23" s="9" t="n">
        <x:f>IF(F23=0,"—",E23/F23)</x:f>
        <x:v>0.37719298245614036</x:v>
      </x:c>
      <x:c r="I23" s="3" t="n">
        <x:v>114</x:v>
      </x:c>
      <x:c r="J23" s="3" t="str">
        <x:v>未加权</x:v>
      </x:c>
      <x:c r="K23" s="3" t="str">
        <x:v>synthetic-v1</x:v>
      </x:c>
      <x:c r="L23" s="3" t="str">
        <x:v>购买与使用!C17</x:v>
      </x:c>
    </x:row>
    <x:row r="24" ht="29" customHeight="1">
      <x:c r="A24" s="8" t="str">
        <x:v>R0020</x:v>
      </x:c>
      <x:c r="B24" s="8" t="str">
        <x:v>Q3/problems</x:v>
      </x:c>
      <x:c r="C24" s="8" t="str">
        <x:v>proportion/边角清洁不净</x:v>
      </x:c>
      <x:c r="D24" s="8" t="str">
        <x:v>养宠家庭</x:v>
      </x:c>
      <x:c r="E24" s="8" t="n">
        <x:v>23</x:v>
      </x:c>
      <x:c r="F24" s="8" t="n">
        <x:v>57</x:v>
      </x:c>
      <x:c r="G24" s="8" t="str">
        <x:v>有效人数</x:v>
      </x:c>
      <x:c r="H24" s="10" t="n">
        <x:f>IF(F24=0,"—",E24/F24)</x:f>
        <x:v>0.40350877192982454</x:v>
      </x:c>
      <x:c r="I24" s="8" t="n">
        <x:v>57</x:v>
      </x:c>
      <x:c r="J24" s="8" t="str">
        <x:v>未加权</x:v>
      </x:c>
      <x:c r="K24" s="8" t="str">
        <x:v>synthetic-v1</x:v>
      </x:c>
      <x:c r="L24" s="8" t="str">
        <x:v>购买与使用!D17</x:v>
      </x:c>
    </x:row>
    <x:row r="25" ht="29" customHeight="1">
      <x:c r="A25" s="3" t="str">
        <x:v>R0021</x:v>
      </x:c>
      <x:c r="B25" s="3" t="str">
        <x:v>Q3/problems</x:v>
      </x:c>
      <x:c r="C25" s="3" t="str">
        <x:v>proportion/边角清洁不净</x:v>
      </x:c>
      <x:c r="D25" s="3" t="str">
        <x:v>无宠家庭</x:v>
      </x:c>
      <x:c r="E25" s="3" t="n">
        <x:v>20</x:v>
      </x:c>
      <x:c r="F25" s="3" t="n">
        <x:v>57</x:v>
      </x:c>
      <x:c r="G25" s="3" t="str">
        <x:v>有效人数</x:v>
      </x:c>
      <x:c r="H25" s="9" t="n">
        <x:f>IF(F25=0,"—",E25/F25)</x:f>
        <x:v>0.3508771929824561</x:v>
      </x:c>
      <x:c r="I25" s="3" t="n">
        <x:v>57</x:v>
      </x:c>
      <x:c r="J25" s="3" t="str">
        <x:v>未加权</x:v>
      </x:c>
      <x:c r="K25" s="3" t="str">
        <x:v>synthetic-v1</x:v>
      </x:c>
      <x:c r="L25" s="3" t="str">
        <x:v>购买与使用!E17</x:v>
      </x:c>
    </x:row>
    <x:row r="26" ht="29" customHeight="1">
      <x:c r="A26" s="8" t="str">
        <x:v>R0022</x:v>
      </x:c>
      <x:c r="B26" s="8" t="str">
        <x:v>Q3/problems</x:v>
      </x:c>
      <x:c r="C26" s="8" t="str">
        <x:v>proportion/噪音影响</x:v>
      </x:c>
      <x:c r="D26" s="8" t="str">
        <x:v>总体</x:v>
      </x:c>
      <x:c r="E26" s="8" t="n">
        <x:v>24</x:v>
      </x:c>
      <x:c r="F26" s="8" t="n">
        <x:v>114</x:v>
      </x:c>
      <x:c r="G26" s="8" t="str">
        <x:v>有效人数</x:v>
      </x:c>
      <x:c r="H26" s="10" t="n">
        <x:f>IF(F26=0,"—",E26/F26)</x:f>
        <x:v>0.21052631578947367</x:v>
      </x:c>
      <x:c r="I26" s="8" t="n">
        <x:v>114</x:v>
      </x:c>
      <x:c r="J26" s="8" t="str">
        <x:v>未加权</x:v>
      </x:c>
      <x:c r="K26" s="8" t="str">
        <x:v>synthetic-v1</x:v>
      </x:c>
      <x:c r="L26" s="8" t="str">
        <x:v>购买与使用!C18</x:v>
      </x:c>
    </x:row>
    <x:row r="27" ht="29" customHeight="1">
      <x:c r="A27" s="3" t="str">
        <x:v>R0023</x:v>
      </x:c>
      <x:c r="B27" s="3" t="str">
        <x:v>Q3/problems</x:v>
      </x:c>
      <x:c r="C27" s="3" t="str">
        <x:v>proportion/噪音影响</x:v>
      </x:c>
      <x:c r="D27" s="3" t="str">
        <x:v>养宠家庭</x:v>
      </x:c>
      <x:c r="E27" s="3" t="n">
        <x:v>11</x:v>
      </x:c>
      <x:c r="F27" s="3" t="n">
        <x:v>57</x:v>
      </x:c>
      <x:c r="G27" s="3" t="str">
        <x:v>有效人数</x:v>
      </x:c>
      <x:c r="H27" s="9" t="n">
        <x:f>IF(F27=0,"—",E27/F27)</x:f>
        <x:v>0.19298245614035087</x:v>
      </x:c>
      <x:c r="I27" s="3" t="n">
        <x:v>57</x:v>
      </x:c>
      <x:c r="J27" s="3" t="str">
        <x:v>未加权</x:v>
      </x:c>
      <x:c r="K27" s="3" t="str">
        <x:v>synthetic-v1</x:v>
      </x:c>
      <x:c r="L27" s="3" t="str">
        <x:v>购买与使用!D18</x:v>
      </x:c>
    </x:row>
    <x:row r="28" ht="29" customHeight="1">
      <x:c r="A28" s="8" t="str">
        <x:v>R0024</x:v>
      </x:c>
      <x:c r="B28" s="8" t="str">
        <x:v>Q3/problems</x:v>
      </x:c>
      <x:c r="C28" s="8" t="str">
        <x:v>proportion/噪音影响</x:v>
      </x:c>
      <x:c r="D28" s="8" t="str">
        <x:v>无宠家庭</x:v>
      </x:c>
      <x:c r="E28" s="8" t="n">
        <x:v>13</x:v>
      </x:c>
      <x:c r="F28" s="8" t="n">
        <x:v>57</x:v>
      </x:c>
      <x:c r="G28" s="8" t="str">
        <x:v>有效人数</x:v>
      </x:c>
      <x:c r="H28" s="10" t="n">
        <x:f>IF(F28=0,"—",E28/F28)</x:f>
        <x:v>0.22807017543859648</x:v>
      </x:c>
      <x:c r="I28" s="8" t="n">
        <x:v>57</x:v>
      </x:c>
      <x:c r="J28" s="8" t="str">
        <x:v>未加权</x:v>
      </x:c>
      <x:c r="K28" s="8" t="str">
        <x:v>synthetic-v1</x:v>
      </x:c>
      <x:c r="L28" s="8" t="str">
        <x:v>购买与使用!E18</x:v>
      </x:c>
    </x:row>
    <x:row r="29" ht="29" customHeight="1">
      <x:c r="A29" s="3" t="str">
        <x:v>R0025</x:v>
      </x:c>
      <x:c r="B29" s="3" t="str">
        <x:v>Q3/problems</x:v>
      </x:c>
      <x:c r="C29" s="3" t="str">
        <x:v>proportion/清洗维护费时</x:v>
      </x:c>
      <x:c r="D29" s="3" t="str">
        <x:v>总体</x:v>
      </x:c>
      <x:c r="E29" s="3" t="n">
        <x:v>39</x:v>
      </x:c>
      <x:c r="F29" s="3" t="n">
        <x:v>114</x:v>
      </x:c>
      <x:c r="G29" s="3" t="str">
        <x:v>有效人数</x:v>
      </x:c>
      <x:c r="H29" s="9" t="n">
        <x:f>IF(F29=0,"—",E29/F29)</x:f>
        <x:v>0.34210526315789475</x:v>
      </x:c>
      <x:c r="I29" s="3" t="n">
        <x:v>114</x:v>
      </x:c>
      <x:c r="J29" s="3" t="str">
        <x:v>未加权</x:v>
      </x:c>
      <x:c r="K29" s="3" t="str">
        <x:v>synthetic-v1</x:v>
      </x:c>
      <x:c r="L29" s="3" t="str">
        <x:v>购买与使用!C19</x:v>
      </x:c>
    </x:row>
    <x:row r="30" ht="29" customHeight="1">
      <x:c r="A30" s="8" t="str">
        <x:v>R0026</x:v>
      </x:c>
      <x:c r="B30" s="8" t="str">
        <x:v>Q3/problems</x:v>
      </x:c>
      <x:c r="C30" s="8" t="str">
        <x:v>proportion/清洗维护费时</x:v>
      </x:c>
      <x:c r="D30" s="8" t="str">
        <x:v>养宠家庭</x:v>
      </x:c>
      <x:c r="E30" s="8" t="n">
        <x:v>28</x:v>
      </x:c>
      <x:c r="F30" s="8" t="n">
        <x:v>57</x:v>
      </x:c>
      <x:c r="G30" s="8" t="str">
        <x:v>有效人数</x:v>
      </x:c>
      <x:c r="H30" s="10" t="n">
        <x:f>IF(F30=0,"—",E30/F30)</x:f>
        <x:v>0.49122807017543857</x:v>
      </x:c>
      <x:c r="I30" s="8" t="n">
        <x:v>57</x:v>
      </x:c>
      <x:c r="J30" s="8" t="str">
        <x:v>未加权</x:v>
      </x:c>
      <x:c r="K30" s="8" t="str">
        <x:v>synthetic-v1</x:v>
      </x:c>
      <x:c r="L30" s="8" t="str">
        <x:v>购买与使用!D19</x:v>
      </x:c>
    </x:row>
    <x:row r="31" ht="29" customHeight="1">
      <x:c r="A31" s="3" t="str">
        <x:v>R0027</x:v>
      </x:c>
      <x:c r="B31" s="3" t="str">
        <x:v>Q3/problems</x:v>
      </x:c>
      <x:c r="C31" s="3" t="str">
        <x:v>proportion/清洗维护费时</x:v>
      </x:c>
      <x:c r="D31" s="3" t="str">
        <x:v>无宠家庭</x:v>
      </x:c>
      <x:c r="E31" s="3" t="n">
        <x:v>11</x:v>
      </x:c>
      <x:c r="F31" s="3" t="n">
        <x:v>57</x:v>
      </x:c>
      <x:c r="G31" s="3" t="str">
        <x:v>有效人数</x:v>
      </x:c>
      <x:c r="H31" s="9" t="n">
        <x:f>IF(F31=0,"—",E31/F31)</x:f>
        <x:v>0.19298245614035087</x:v>
      </x:c>
      <x:c r="I31" s="3" t="n">
        <x:v>57</x:v>
      </x:c>
      <x:c r="J31" s="3" t="str">
        <x:v>未加权</x:v>
      </x:c>
      <x:c r="K31" s="3" t="str">
        <x:v>synthetic-v1</x:v>
      </x:c>
      <x:c r="L31" s="3" t="str">
        <x:v>购买与使用!E19</x:v>
      </x:c>
    </x:row>
    <x:row r="32" ht="29" customHeight="1">
      <x:c r="A32" s="8" t="str">
        <x:v>R0028</x:v>
      </x:c>
      <x:c r="B32" s="8" t="str">
        <x:v>Q4/satisfaction</x:v>
      </x:c>
      <x:c r="C32" s="8" t="str">
        <x:v>proportion/非常不满意</x:v>
      </x:c>
      <x:c r="D32" s="8" t="str">
        <x:v>总体</x:v>
      </x:c>
      <x:c r="E32" s="8" t="n">
        <x:v>17</x:v>
      </x:c>
      <x:c r="F32" s="8" t="n">
        <x:v>116</x:v>
      </x:c>
      <x:c r="G32" s="8" t="str">
        <x:v>有效人数</x:v>
      </x:c>
      <x:c r="H32" s="10" t="n">
        <x:f>IF(F32=0,"—",E32/F32)</x:f>
        <x:v>0.14655172413793102</x:v>
      </x:c>
      <x:c r="I32" s="8" t="n">
        <x:v>116</x:v>
      </x:c>
      <x:c r="J32" s="8" t="str">
        <x:v>未加权</x:v>
      </x:c>
      <x:c r="K32" s="8" t="str">
        <x:v>synthetic-v1</x:v>
      </x:c>
      <x:c r="L32" s="8" t="str">
        <x:v>满意度与推荐!C5</x:v>
      </x:c>
    </x:row>
    <x:row r="33" ht="29" customHeight="1">
      <x:c r="A33" s="3" t="str">
        <x:v>R0029</x:v>
      </x:c>
      <x:c r="B33" s="3" t="str">
        <x:v>Q4/satisfaction</x:v>
      </x:c>
      <x:c r="C33" s="3" t="str">
        <x:v>proportion/非常不满意</x:v>
      </x:c>
      <x:c r="D33" s="3" t="str">
        <x:v>养宠家庭</x:v>
      </x:c>
      <x:c r="E33" s="3" t="n">
        <x:v>11</x:v>
      </x:c>
      <x:c r="F33" s="3" t="n">
        <x:v>58</x:v>
      </x:c>
      <x:c r="G33" s="3" t="str">
        <x:v>有效人数</x:v>
      </x:c>
      <x:c r="H33" s="9" t="n">
        <x:f>IF(F33=0,"—",E33/F33)</x:f>
        <x:v>0.1896551724137931</x:v>
      </x:c>
      <x:c r="I33" s="3" t="n">
        <x:v>58</x:v>
      </x:c>
      <x:c r="J33" s="3" t="str">
        <x:v>未加权</x:v>
      </x:c>
      <x:c r="K33" s="3" t="str">
        <x:v>synthetic-v1</x:v>
      </x:c>
      <x:c r="L33" s="3" t="str">
        <x:v>满意度与推荐!D5</x:v>
      </x:c>
    </x:row>
    <x:row r="34" ht="29" customHeight="1">
      <x:c r="A34" s="8" t="str">
        <x:v>R0030</x:v>
      </x:c>
      <x:c r="B34" s="8" t="str">
        <x:v>Q4/satisfaction</x:v>
      </x:c>
      <x:c r="C34" s="8" t="str">
        <x:v>proportion/非常不满意</x:v>
      </x:c>
      <x:c r="D34" s="8" t="str">
        <x:v>无宠家庭</x:v>
      </x:c>
      <x:c r="E34" s="8" t="n">
        <x:v>6</x:v>
      </x:c>
      <x:c r="F34" s="8" t="n">
        <x:v>58</x:v>
      </x:c>
      <x:c r="G34" s="8" t="str">
        <x:v>有效人数</x:v>
      </x:c>
      <x:c r="H34" s="10" t="n">
        <x:f>IF(F34=0,"—",E34/F34)</x:f>
        <x:v>0.10344827586206896</x:v>
      </x:c>
      <x:c r="I34" s="8" t="n">
        <x:v>58</x:v>
      </x:c>
      <x:c r="J34" s="8" t="str">
        <x:v>未加权</x:v>
      </x:c>
      <x:c r="K34" s="8" t="str">
        <x:v>synthetic-v1</x:v>
      </x:c>
      <x:c r="L34" s="8" t="str">
        <x:v>满意度与推荐!E5</x:v>
      </x:c>
    </x:row>
    <x:row r="35" ht="29" customHeight="1">
      <x:c r="A35" s="3" t="str">
        <x:v>R0031</x:v>
      </x:c>
      <x:c r="B35" s="3" t="str">
        <x:v>Q4/satisfaction</x:v>
      </x:c>
      <x:c r="C35" s="3" t="str">
        <x:v>proportion/比较不满意</x:v>
      </x:c>
      <x:c r="D35" s="3" t="str">
        <x:v>总体</x:v>
      </x:c>
      <x:c r="E35" s="3" t="n">
        <x:v>15</x:v>
      </x:c>
      <x:c r="F35" s="3" t="n">
        <x:v>116</x:v>
      </x:c>
      <x:c r="G35" s="3" t="str">
        <x:v>有效人数</x:v>
      </x:c>
      <x:c r="H35" s="9" t="n">
        <x:f>IF(F35=0,"—",E35/F35)</x:f>
        <x:v>0.12931034482758622</x:v>
      </x:c>
      <x:c r="I35" s="3" t="n">
        <x:v>116</x:v>
      </x:c>
      <x:c r="J35" s="3" t="str">
        <x:v>未加权</x:v>
      </x:c>
      <x:c r="K35" s="3" t="str">
        <x:v>synthetic-v1</x:v>
      </x:c>
      <x:c r="L35" s="3" t="str">
        <x:v>满意度与推荐!C6</x:v>
      </x:c>
    </x:row>
    <x:row r="36" ht="29" customHeight="1">
      <x:c r="A36" s="8" t="str">
        <x:v>R0032</x:v>
      </x:c>
      <x:c r="B36" s="8" t="str">
        <x:v>Q4/satisfaction</x:v>
      </x:c>
      <x:c r="C36" s="8" t="str">
        <x:v>proportion/比较不满意</x:v>
      </x:c>
      <x:c r="D36" s="8" t="str">
        <x:v>养宠家庭</x:v>
      </x:c>
      <x:c r="E36" s="8" t="n">
        <x:v>11</x:v>
      </x:c>
      <x:c r="F36" s="8" t="n">
        <x:v>58</x:v>
      </x:c>
      <x:c r="G36" s="8" t="str">
        <x:v>有效人数</x:v>
      </x:c>
      <x:c r="H36" s="10" t="n">
        <x:f>IF(F36=0,"—",E36/F36)</x:f>
        <x:v>0.1896551724137931</x:v>
      </x:c>
      <x:c r="I36" s="8" t="n">
        <x:v>58</x:v>
      </x:c>
      <x:c r="J36" s="8" t="str">
        <x:v>未加权</x:v>
      </x:c>
      <x:c r="K36" s="8" t="str">
        <x:v>synthetic-v1</x:v>
      </x:c>
      <x:c r="L36" s="8" t="str">
        <x:v>满意度与推荐!D6</x:v>
      </x:c>
    </x:row>
    <x:row r="37" ht="29" customHeight="1">
      <x:c r="A37" s="3" t="str">
        <x:v>R0033</x:v>
      </x:c>
      <x:c r="B37" s="3" t="str">
        <x:v>Q4/satisfaction</x:v>
      </x:c>
      <x:c r="C37" s="3" t="str">
        <x:v>proportion/比较不满意</x:v>
      </x:c>
      <x:c r="D37" s="3" t="str">
        <x:v>无宠家庭</x:v>
      </x:c>
      <x:c r="E37" s="3" t="n">
        <x:v>4</x:v>
      </x:c>
      <x:c r="F37" s="3" t="n">
        <x:v>58</x:v>
      </x:c>
      <x:c r="G37" s="3" t="str">
        <x:v>有效人数</x:v>
      </x:c>
      <x:c r="H37" s="9" t="n">
        <x:f>IF(F37=0,"—",E37/F37)</x:f>
        <x:v>0.06896551724137931</x:v>
      </x:c>
      <x:c r="I37" s="3" t="n">
        <x:v>58</x:v>
      </x:c>
      <x:c r="J37" s="3" t="str">
        <x:v>未加权</x:v>
      </x:c>
      <x:c r="K37" s="3" t="str">
        <x:v>synthetic-v1</x:v>
      </x:c>
      <x:c r="L37" s="3" t="str">
        <x:v>满意度与推荐!E6</x:v>
      </x:c>
    </x:row>
    <x:row r="38" ht="29" customHeight="1">
      <x:c r="A38" s="8" t="str">
        <x:v>R0034</x:v>
      </x:c>
      <x:c r="B38" s="8" t="str">
        <x:v>Q4/satisfaction</x:v>
      </x:c>
      <x:c r="C38" s="8" t="str">
        <x:v>proportion/一般</x:v>
      </x:c>
      <x:c r="D38" s="8" t="str">
        <x:v>总体</x:v>
      </x:c>
      <x:c r="E38" s="8" t="n">
        <x:v>24</x:v>
      </x:c>
      <x:c r="F38" s="8" t="n">
        <x:v>116</x:v>
      </x:c>
      <x:c r="G38" s="8" t="str">
        <x:v>有效人数</x:v>
      </x:c>
      <x:c r="H38" s="10" t="n">
        <x:f>IF(F38=0,"—",E38/F38)</x:f>
        <x:v>0.20689655172413793</x:v>
      </x:c>
      <x:c r="I38" s="8" t="n">
        <x:v>116</x:v>
      </x:c>
      <x:c r="J38" s="8" t="str">
        <x:v>未加权</x:v>
      </x:c>
      <x:c r="K38" s="8" t="str">
        <x:v>synthetic-v1</x:v>
      </x:c>
      <x:c r="L38" s="8" t="str">
        <x:v>满意度与推荐!C7</x:v>
      </x:c>
    </x:row>
    <x:row r="39" ht="29" customHeight="1">
      <x:c r="A39" s="3" t="str">
        <x:v>R0035</x:v>
      </x:c>
      <x:c r="B39" s="3" t="str">
        <x:v>Q4/satisfaction</x:v>
      </x:c>
      <x:c r="C39" s="3" t="str">
        <x:v>proportion/一般</x:v>
      </x:c>
      <x:c r="D39" s="3" t="str">
        <x:v>养宠家庭</x:v>
      </x:c>
      <x:c r="E39" s="3" t="n">
        <x:v>12</x:v>
      </x:c>
      <x:c r="F39" s="3" t="n">
        <x:v>58</x:v>
      </x:c>
      <x:c r="G39" s="3" t="str">
        <x:v>有效人数</x:v>
      </x:c>
      <x:c r="H39" s="9" t="n">
        <x:f>IF(F39=0,"—",E39/F39)</x:f>
        <x:v>0.20689655172413793</x:v>
      </x:c>
      <x:c r="I39" s="3" t="n">
        <x:v>58</x:v>
      </x:c>
      <x:c r="J39" s="3" t="str">
        <x:v>未加权</x:v>
      </x:c>
      <x:c r="K39" s="3" t="str">
        <x:v>synthetic-v1</x:v>
      </x:c>
      <x:c r="L39" s="3" t="str">
        <x:v>满意度与推荐!D7</x:v>
      </x:c>
    </x:row>
    <x:row r="40" ht="29" customHeight="1">
      <x:c r="A40" s="8" t="str">
        <x:v>R0036</x:v>
      </x:c>
      <x:c r="B40" s="8" t="str">
        <x:v>Q4/satisfaction</x:v>
      </x:c>
      <x:c r="C40" s="8" t="str">
        <x:v>proportion/一般</x:v>
      </x:c>
      <x:c r="D40" s="8" t="str">
        <x:v>无宠家庭</x:v>
      </x:c>
      <x:c r="E40" s="8" t="n">
        <x:v>12</x:v>
      </x:c>
      <x:c r="F40" s="8" t="n">
        <x:v>58</x:v>
      </x:c>
      <x:c r="G40" s="8" t="str">
        <x:v>有效人数</x:v>
      </x:c>
      <x:c r="H40" s="10" t="n">
        <x:f>IF(F40=0,"—",E40/F40)</x:f>
        <x:v>0.20689655172413793</x:v>
      </x:c>
      <x:c r="I40" s="8" t="n">
        <x:v>58</x:v>
      </x:c>
      <x:c r="J40" s="8" t="str">
        <x:v>未加权</x:v>
      </x:c>
      <x:c r="K40" s="8" t="str">
        <x:v>synthetic-v1</x:v>
      </x:c>
      <x:c r="L40" s="8" t="str">
        <x:v>满意度与推荐!E7</x:v>
      </x:c>
    </x:row>
    <x:row r="41" ht="29" customHeight="1">
      <x:c r="A41" s="3" t="str">
        <x:v>R0037</x:v>
      </x:c>
      <x:c r="B41" s="3" t="str">
        <x:v>Q4/satisfaction</x:v>
      </x:c>
      <x:c r="C41" s="3" t="str">
        <x:v>proportion/比较满意</x:v>
      </x:c>
      <x:c r="D41" s="3" t="str">
        <x:v>总体</x:v>
      </x:c>
      <x:c r="E41" s="3" t="n">
        <x:v>38</x:v>
      </x:c>
      <x:c r="F41" s="3" t="n">
        <x:v>116</x:v>
      </x:c>
      <x:c r="G41" s="3" t="str">
        <x:v>有效人数</x:v>
      </x:c>
      <x:c r="H41" s="9" t="n">
        <x:f>IF(F41=0,"—",E41/F41)</x:f>
        <x:v>0.3275862068965517</x:v>
      </x:c>
      <x:c r="I41" s="3" t="n">
        <x:v>116</x:v>
      </x:c>
      <x:c r="J41" s="3" t="str">
        <x:v>未加权</x:v>
      </x:c>
      <x:c r="K41" s="3" t="str">
        <x:v>synthetic-v1</x:v>
      </x:c>
      <x:c r="L41" s="3" t="str">
        <x:v>满意度与推荐!C8</x:v>
      </x:c>
    </x:row>
    <x:row r="42" ht="29" customHeight="1">
      <x:c r="A42" s="8" t="str">
        <x:v>R0038</x:v>
      </x:c>
      <x:c r="B42" s="8" t="str">
        <x:v>Q4/satisfaction</x:v>
      </x:c>
      <x:c r="C42" s="8" t="str">
        <x:v>proportion/比较满意</x:v>
      </x:c>
      <x:c r="D42" s="8" t="str">
        <x:v>养宠家庭</x:v>
      </x:c>
      <x:c r="E42" s="8" t="n">
        <x:v>16</x:v>
      </x:c>
      <x:c r="F42" s="8" t="n">
        <x:v>58</x:v>
      </x:c>
      <x:c r="G42" s="8" t="str">
        <x:v>有效人数</x:v>
      </x:c>
      <x:c r="H42" s="10" t="n">
        <x:f>IF(F42=0,"—",E42/F42)</x:f>
        <x:v>0.27586206896551724</x:v>
      </x:c>
      <x:c r="I42" s="8" t="n">
        <x:v>58</x:v>
      </x:c>
      <x:c r="J42" s="8" t="str">
        <x:v>未加权</x:v>
      </x:c>
      <x:c r="K42" s="8" t="str">
        <x:v>synthetic-v1</x:v>
      </x:c>
      <x:c r="L42" s="8" t="str">
        <x:v>满意度与推荐!D8</x:v>
      </x:c>
    </x:row>
    <x:row r="43" ht="29" customHeight="1">
      <x:c r="A43" s="3" t="str">
        <x:v>R0039</x:v>
      </x:c>
      <x:c r="B43" s="3" t="str">
        <x:v>Q4/satisfaction</x:v>
      </x:c>
      <x:c r="C43" s="3" t="str">
        <x:v>proportion/比较满意</x:v>
      </x:c>
      <x:c r="D43" s="3" t="str">
        <x:v>无宠家庭</x:v>
      </x:c>
      <x:c r="E43" s="3" t="n">
        <x:v>22</x:v>
      </x:c>
      <x:c r="F43" s="3" t="n">
        <x:v>58</x:v>
      </x:c>
      <x:c r="G43" s="3" t="str">
        <x:v>有效人数</x:v>
      </x:c>
      <x:c r="H43" s="9" t="n">
        <x:f>IF(F43=0,"—",E43/F43)</x:f>
        <x:v>0.3793103448275862</x:v>
      </x:c>
      <x:c r="I43" s="3" t="n">
        <x:v>58</x:v>
      </x:c>
      <x:c r="J43" s="3" t="str">
        <x:v>未加权</x:v>
      </x:c>
      <x:c r="K43" s="3" t="str">
        <x:v>synthetic-v1</x:v>
      </x:c>
      <x:c r="L43" s="3" t="str">
        <x:v>满意度与推荐!E8</x:v>
      </x:c>
    </x:row>
    <x:row r="44" ht="29" customHeight="1">
      <x:c r="A44" s="8" t="str">
        <x:v>R0040</x:v>
      </x:c>
      <x:c r="B44" s="8" t="str">
        <x:v>Q4/satisfaction</x:v>
      </x:c>
      <x:c r="C44" s="8" t="str">
        <x:v>proportion/非常满意</x:v>
      </x:c>
      <x:c r="D44" s="8" t="str">
        <x:v>总体</x:v>
      </x:c>
      <x:c r="E44" s="8" t="n">
        <x:v>22</x:v>
      </x:c>
      <x:c r="F44" s="8" t="n">
        <x:v>116</x:v>
      </x:c>
      <x:c r="G44" s="8" t="str">
        <x:v>有效人数</x:v>
      </x:c>
      <x:c r="H44" s="10" t="n">
        <x:f>IF(F44=0,"—",E44/F44)</x:f>
        <x:v>0.1896551724137931</x:v>
      </x:c>
      <x:c r="I44" s="8" t="n">
        <x:v>116</x:v>
      </x:c>
      <x:c r="J44" s="8" t="str">
        <x:v>未加权</x:v>
      </x:c>
      <x:c r="K44" s="8" t="str">
        <x:v>synthetic-v1</x:v>
      </x:c>
      <x:c r="L44" s="8" t="str">
        <x:v>满意度与推荐!C9</x:v>
      </x:c>
    </x:row>
    <x:row r="45" ht="29" customHeight="1">
      <x:c r="A45" s="3" t="str">
        <x:v>R0041</x:v>
      </x:c>
      <x:c r="B45" s="3" t="str">
        <x:v>Q4/satisfaction</x:v>
      </x:c>
      <x:c r="C45" s="3" t="str">
        <x:v>proportion/非常满意</x:v>
      </x:c>
      <x:c r="D45" s="3" t="str">
        <x:v>养宠家庭</x:v>
      </x:c>
      <x:c r="E45" s="3" t="n">
        <x:v>8</x:v>
      </x:c>
      <x:c r="F45" s="3" t="n">
        <x:v>58</x:v>
      </x:c>
      <x:c r="G45" s="3" t="str">
        <x:v>有效人数</x:v>
      </x:c>
      <x:c r="H45" s="9" t="n">
        <x:f>IF(F45=0,"—",E45/F45)</x:f>
        <x:v>0.13793103448275862</x:v>
      </x:c>
      <x:c r="I45" s="3" t="n">
        <x:v>58</x:v>
      </x:c>
      <x:c r="J45" s="3" t="str">
        <x:v>未加权</x:v>
      </x:c>
      <x:c r="K45" s="3" t="str">
        <x:v>synthetic-v1</x:v>
      </x:c>
      <x:c r="L45" s="3" t="str">
        <x:v>满意度与推荐!D9</x:v>
      </x:c>
    </x:row>
    <x:row r="46" ht="29" customHeight="1">
      <x:c r="A46" s="8" t="str">
        <x:v>R0042</x:v>
      </x:c>
      <x:c r="B46" s="8" t="str">
        <x:v>Q4/satisfaction</x:v>
      </x:c>
      <x:c r="C46" s="8" t="str">
        <x:v>proportion/非常满意</x:v>
      </x:c>
      <x:c r="D46" s="8" t="str">
        <x:v>无宠家庭</x:v>
      </x:c>
      <x:c r="E46" s="8" t="n">
        <x:v>14</x:v>
      </x:c>
      <x:c r="F46" s="8" t="n">
        <x:v>58</x:v>
      </x:c>
      <x:c r="G46" s="8" t="str">
        <x:v>有效人数</x:v>
      </x:c>
      <x:c r="H46" s="10" t="n">
        <x:f>IF(F46=0,"—",E46/F46)</x:f>
        <x:v>0.2413793103448276</x:v>
      </x:c>
      <x:c r="I46" s="8" t="n">
        <x:v>58</x:v>
      </x:c>
      <x:c r="J46" s="8" t="str">
        <x:v>未加权</x:v>
      </x:c>
      <x:c r="K46" s="8" t="str">
        <x:v>synthetic-v1</x:v>
      </x:c>
      <x:c r="L46" s="8" t="str">
        <x:v>满意度与推荐!E9</x:v>
      </x:c>
    </x:row>
    <x:row r="47" ht="29" customHeight="1">
      <x:c r="A47" s="3" t="str">
        <x:v>R0043</x:v>
      </x:c>
      <x:c r="B47" s="3" t="str">
        <x:v>Q4/satisfaction</x:v>
      </x:c>
      <x:c r="C47" s="3" t="str">
        <x:v>top2/TOP2</x:v>
      </x:c>
      <x:c r="D47" s="3" t="str">
        <x:v>总体</x:v>
      </x:c>
      <x:c r="E47" s="3" t="n">
        <x:v>60</x:v>
      </x:c>
      <x:c r="F47" s="3" t="n">
        <x:v>116</x:v>
      </x:c>
      <x:c r="G47" s="3" t="str">
        <x:v>有效人数</x:v>
      </x:c>
      <x:c r="H47" s="9" t="n">
        <x:f>IF(F47=0,"—",E47/F47)</x:f>
        <x:v>0.5172413793103449</x:v>
      </x:c>
      <x:c r="I47" s="3" t="n">
        <x:v>116</x:v>
      </x:c>
      <x:c r="J47" s="3" t="str">
        <x:v>未加权</x:v>
      </x:c>
      <x:c r="K47" s="3" t="str">
        <x:v>synthetic-v1</x:v>
      </x:c>
      <x:c r="L47" s="3" t="str">
        <x:v>满意度与推荐!C10</x:v>
      </x:c>
    </x:row>
    <x:row r="48" ht="29" customHeight="1">
      <x:c r="A48" s="8" t="str">
        <x:v>R0044</x:v>
      </x:c>
      <x:c r="B48" s="8" t="str">
        <x:v>Q4/satisfaction</x:v>
      </x:c>
      <x:c r="C48" s="8" t="str">
        <x:v>top2/TOP2</x:v>
      </x:c>
      <x:c r="D48" s="8" t="str">
        <x:v>养宠家庭</x:v>
      </x:c>
      <x:c r="E48" s="8" t="n">
        <x:v>24</x:v>
      </x:c>
      <x:c r="F48" s="8" t="n">
        <x:v>58</x:v>
      </x:c>
      <x:c r="G48" s="8" t="str">
        <x:v>有效人数</x:v>
      </x:c>
      <x:c r="H48" s="10" t="n">
        <x:f>IF(F48=0,"—",E48/F48)</x:f>
        <x:v>0.41379310344827586</x:v>
      </x:c>
      <x:c r="I48" s="8" t="n">
        <x:v>58</x:v>
      </x:c>
      <x:c r="J48" s="8" t="str">
        <x:v>未加权</x:v>
      </x:c>
      <x:c r="K48" s="8" t="str">
        <x:v>synthetic-v1</x:v>
      </x:c>
      <x:c r="L48" s="8" t="str">
        <x:v>满意度与推荐!D10</x:v>
      </x:c>
    </x:row>
    <x:row r="49" ht="29" customHeight="1">
      <x:c r="A49" s="3" t="str">
        <x:v>R0045</x:v>
      </x:c>
      <x:c r="B49" s="3" t="str">
        <x:v>Q4/satisfaction</x:v>
      </x:c>
      <x:c r="C49" s="3" t="str">
        <x:v>top2/TOP2</x:v>
      </x:c>
      <x:c r="D49" s="3" t="str">
        <x:v>无宠家庭</x:v>
      </x:c>
      <x:c r="E49" s="3" t="n">
        <x:v>36</x:v>
      </x:c>
      <x:c r="F49" s="3" t="n">
        <x:v>58</x:v>
      </x:c>
      <x:c r="G49" s="3" t="str">
        <x:v>有效人数</x:v>
      </x:c>
      <x:c r="H49" s="9" t="n">
        <x:f>IF(F49=0,"—",E49/F49)</x:f>
        <x:v>0.6206896551724138</x:v>
      </x:c>
      <x:c r="I49" s="3" t="n">
        <x:v>58</x:v>
      </x:c>
      <x:c r="J49" s="3" t="str">
        <x:v>未加权</x:v>
      </x:c>
      <x:c r="K49" s="3" t="str">
        <x:v>synthetic-v1</x:v>
      </x:c>
      <x:c r="L49" s="3" t="str">
        <x:v>满意度与推荐!E10</x:v>
      </x:c>
    </x:row>
    <x:row r="50" ht="29" customHeight="1">
      <x:c r="A50" s="8" t="str">
        <x:v>R0046</x:v>
      </x:c>
      <x:c r="B50" s="8" t="str">
        <x:v>Q4/satisfaction</x:v>
      </x:c>
      <x:c r="C50" s="8" t="str">
        <x:v>mean/均值</x:v>
      </x:c>
      <x:c r="D50" s="8" t="str">
        <x:v>总体</x:v>
      </x:c>
      <x:c r="E50" s="8" t="n">
        <x:v>381</x:v>
      </x:c>
      <x:c r="F50" s="8" t="n">
        <x:v>116</x:v>
      </x:c>
      <x:c r="G50" s="8" t="str">
        <x:v>有效人数</x:v>
      </x:c>
      <x:c r="H50" s="19" t="n">
        <x:f>IF(F50=0,"—",E50/F50)</x:f>
        <x:v>3.2844827586206895</x:v>
      </x:c>
      <x:c r="I50" s="8" t="n">
        <x:v>116</x:v>
      </x:c>
      <x:c r="J50" s="8" t="str">
        <x:v>未加权</x:v>
      </x:c>
      <x:c r="K50" s="8" t="str">
        <x:v>synthetic-v1</x:v>
      </x:c>
      <x:c r="L50" s="8" t="str">
        <x:v>满意度与推荐!C11</x:v>
      </x:c>
    </x:row>
    <x:row r="51" ht="29" customHeight="1">
      <x:c r="A51" s="3" t="str">
        <x:v>R0047</x:v>
      </x:c>
      <x:c r="B51" s="3" t="str">
        <x:v>Q4/satisfaction</x:v>
      </x:c>
      <x:c r="C51" s="3" t="str">
        <x:v>mean/均值</x:v>
      </x:c>
      <x:c r="D51" s="3" t="str">
        <x:v>养宠家庭</x:v>
      </x:c>
      <x:c r="E51" s="3" t="n">
        <x:v>173</x:v>
      </x:c>
      <x:c r="F51" s="3" t="n">
        <x:v>58</x:v>
      </x:c>
      <x:c r="G51" s="3" t="str">
        <x:v>有效人数</x:v>
      </x:c>
      <x:c r="H51" s="17" t="n">
        <x:f>IF(F51=0,"—",E51/F51)</x:f>
        <x:v>2.9827586206896552</x:v>
      </x:c>
      <x:c r="I51" s="3" t="n">
        <x:v>58</x:v>
      </x:c>
      <x:c r="J51" s="3" t="str">
        <x:v>未加权</x:v>
      </x:c>
      <x:c r="K51" s="3" t="str">
        <x:v>synthetic-v1</x:v>
      </x:c>
      <x:c r="L51" s="3" t="str">
        <x:v>满意度与推荐!D11</x:v>
      </x:c>
    </x:row>
    <x:row r="52" ht="29" customHeight="1">
      <x:c r="A52" s="8" t="str">
        <x:v>R0048</x:v>
      </x:c>
      <x:c r="B52" s="8" t="str">
        <x:v>Q4/satisfaction</x:v>
      </x:c>
      <x:c r="C52" s="8" t="str">
        <x:v>mean/均值</x:v>
      </x:c>
      <x:c r="D52" s="8" t="str">
        <x:v>无宠家庭</x:v>
      </x:c>
      <x:c r="E52" s="8" t="n">
        <x:v>208</x:v>
      </x:c>
      <x:c r="F52" s="8" t="n">
        <x:v>58</x:v>
      </x:c>
      <x:c r="G52" s="8" t="str">
        <x:v>有效人数</x:v>
      </x:c>
      <x:c r="H52" s="19" t="n">
        <x:f>IF(F52=0,"—",E52/F52)</x:f>
        <x:v>3.586206896551724</x:v>
      </x:c>
      <x:c r="I52" s="8" t="n">
        <x:v>58</x:v>
      </x:c>
      <x:c r="J52" s="8" t="str">
        <x:v>未加权</x:v>
      </x:c>
      <x:c r="K52" s="8" t="str">
        <x:v>synthetic-v1</x:v>
      </x:c>
      <x:c r="L52" s="8" t="str">
        <x:v>满意度与推荐!E11</x:v>
      </x:c>
    </x:row>
    <x:row r="53" ht="29" customHeight="1">
      <x:c r="A53" s="3" t="str">
        <x:v>R0049</x:v>
      </x:c>
      <x:c r="B53" s="3" t="str">
        <x:v>Q5/support</x:v>
      </x:c>
      <x:c r="C53" s="3" t="str">
        <x:v>proportion/联系过</x:v>
      </x:c>
      <x:c r="D53" s="3" t="str">
        <x:v>总体</x:v>
      </x:c>
      <x:c r="E53" s="3" t="n">
        <x:v>30</x:v>
      </x:c>
      <x:c r="F53" s="3" t="n">
        <x:v>120</x:v>
      </x:c>
      <x:c r="G53" s="3" t="str">
        <x:v>有效人数</x:v>
      </x:c>
      <x:c r="H53" s="9" t="n">
        <x:f>IF(F53=0,"—",E53/F53)</x:f>
        <x:v>0.25</x:v>
      </x:c>
      <x:c r="I53" s="3" t="n">
        <x:v>120</x:v>
      </x:c>
      <x:c r="J53" s="3" t="str">
        <x:v>未加权</x:v>
      </x:c>
      <x:c r="K53" s="3" t="str">
        <x:v>synthetic-v1</x:v>
      </x:c>
      <x:c r="L53" s="3" t="str">
        <x:v>满意度与推荐!C15</x:v>
      </x:c>
    </x:row>
    <x:row r="54" ht="29" customHeight="1">
      <x:c r="A54" s="8" t="str">
        <x:v>R0050</x:v>
      </x:c>
      <x:c r="B54" s="8" t="str">
        <x:v>Q5/support</x:v>
      </x:c>
      <x:c r="C54" s="8" t="str">
        <x:v>proportion/联系过</x:v>
      </x:c>
      <x:c r="D54" s="8" t="str">
        <x:v>养宠家庭</x:v>
      </x:c>
      <x:c r="E54" s="8" t="n">
        <x:v>15</x:v>
      </x:c>
      <x:c r="F54" s="8" t="n">
        <x:v>60</x:v>
      </x:c>
      <x:c r="G54" s="8" t="str">
        <x:v>有效人数</x:v>
      </x:c>
      <x:c r="H54" s="10" t="n">
        <x:f>IF(F54=0,"—",E54/F54)</x:f>
        <x:v>0.25</x:v>
      </x:c>
      <x:c r="I54" s="8" t="n">
        <x:v>60</x:v>
      </x:c>
      <x:c r="J54" s="8" t="str">
        <x:v>未加权</x:v>
      </x:c>
      <x:c r="K54" s="8" t="str">
        <x:v>synthetic-v1</x:v>
      </x:c>
      <x:c r="L54" s="8" t="str">
        <x:v>满意度与推荐!D15</x:v>
      </x:c>
    </x:row>
    <x:row r="55" ht="29" customHeight="1">
      <x:c r="A55" s="3" t="str">
        <x:v>R0051</x:v>
      </x:c>
      <x:c r="B55" s="3" t="str">
        <x:v>Q5/support</x:v>
      </x:c>
      <x:c r="C55" s="3" t="str">
        <x:v>proportion/联系过</x:v>
      </x:c>
      <x:c r="D55" s="3" t="str">
        <x:v>无宠家庭</x:v>
      </x:c>
      <x:c r="E55" s="3" t="n">
        <x:v>15</x:v>
      </x:c>
      <x:c r="F55" s="3" t="n">
        <x:v>60</x:v>
      </x:c>
      <x:c r="G55" s="3" t="str">
        <x:v>有效人数</x:v>
      </x:c>
      <x:c r="H55" s="9" t="n">
        <x:f>IF(F55=0,"—",E55/F55)</x:f>
        <x:v>0.25</x:v>
      </x:c>
      <x:c r="I55" s="3" t="n">
        <x:v>60</x:v>
      </x:c>
      <x:c r="J55" s="3" t="str">
        <x:v>未加权</x:v>
      </x:c>
      <x:c r="K55" s="3" t="str">
        <x:v>synthetic-v1</x:v>
      </x:c>
      <x:c r="L55" s="3" t="str">
        <x:v>满意度与推荐!E15</x:v>
      </x:c>
    </x:row>
    <x:row r="56" ht="29" customHeight="1">
      <x:c r="A56" s="8" t="str">
        <x:v>R0052</x:v>
      </x:c>
      <x:c r="B56" s="8" t="str">
        <x:v>Q5/support</x:v>
      </x:c>
      <x:c r="C56" s="8" t="str">
        <x:v>proportion/没有</x:v>
      </x:c>
      <x:c r="D56" s="8" t="str">
        <x:v>总体</x:v>
      </x:c>
      <x:c r="E56" s="8" t="n">
        <x:v>90</x:v>
      </x:c>
      <x:c r="F56" s="8" t="n">
        <x:v>120</x:v>
      </x:c>
      <x:c r="G56" s="8" t="str">
        <x:v>有效人数</x:v>
      </x:c>
      <x:c r="H56" s="10" t="n">
        <x:f>IF(F56=0,"—",E56/F56)</x:f>
        <x:v>0.75</x:v>
      </x:c>
      <x:c r="I56" s="8" t="n">
        <x:v>120</x:v>
      </x:c>
      <x:c r="J56" s="8" t="str">
        <x:v>未加权</x:v>
      </x:c>
      <x:c r="K56" s="8" t="str">
        <x:v>synthetic-v1</x:v>
      </x:c>
      <x:c r="L56" s="8" t="str">
        <x:v>满意度与推荐!C16</x:v>
      </x:c>
    </x:row>
    <x:row r="57" ht="29" customHeight="1">
      <x:c r="A57" s="3" t="str">
        <x:v>R0053</x:v>
      </x:c>
      <x:c r="B57" s="3" t="str">
        <x:v>Q5/support</x:v>
      </x:c>
      <x:c r="C57" s="3" t="str">
        <x:v>proportion/没有</x:v>
      </x:c>
      <x:c r="D57" s="3" t="str">
        <x:v>养宠家庭</x:v>
      </x:c>
      <x:c r="E57" s="3" t="n">
        <x:v>45</x:v>
      </x:c>
      <x:c r="F57" s="3" t="n">
        <x:v>60</x:v>
      </x:c>
      <x:c r="G57" s="3" t="str">
        <x:v>有效人数</x:v>
      </x:c>
      <x:c r="H57" s="9" t="n">
        <x:f>IF(F57=0,"—",E57/F57)</x:f>
        <x:v>0.75</x:v>
      </x:c>
      <x:c r="I57" s="3" t="n">
        <x:v>60</x:v>
      </x:c>
      <x:c r="J57" s="3" t="str">
        <x:v>未加权</x:v>
      </x:c>
      <x:c r="K57" s="3" t="str">
        <x:v>synthetic-v1</x:v>
      </x:c>
      <x:c r="L57" s="3" t="str">
        <x:v>满意度与推荐!D16</x:v>
      </x:c>
    </x:row>
    <x:row r="58" ht="29" customHeight="1">
      <x:c r="A58" s="8" t="str">
        <x:v>R0054</x:v>
      </x:c>
      <x:c r="B58" s="8" t="str">
        <x:v>Q5/support</x:v>
      </x:c>
      <x:c r="C58" s="8" t="str">
        <x:v>proportion/没有</x:v>
      </x:c>
      <x:c r="D58" s="8" t="str">
        <x:v>无宠家庭</x:v>
      </x:c>
      <x:c r="E58" s="8" t="n">
        <x:v>45</x:v>
      </x:c>
      <x:c r="F58" s="8" t="n">
        <x:v>60</x:v>
      </x:c>
      <x:c r="G58" s="8" t="str">
        <x:v>有效人数</x:v>
      </x:c>
      <x:c r="H58" s="10" t="n">
        <x:f>IF(F58=0,"—",E58/F58)</x:f>
        <x:v>0.75</x:v>
      </x:c>
      <x:c r="I58" s="8" t="n">
        <x:v>60</x:v>
      </x:c>
      <x:c r="J58" s="8" t="str">
        <x:v>未加权</x:v>
      </x:c>
      <x:c r="K58" s="8" t="str">
        <x:v>synthetic-v1</x:v>
      </x:c>
      <x:c r="L58" s="8" t="str">
        <x:v>满意度与推荐!E16</x:v>
      </x:c>
    </x:row>
    <x:row r="59" ht="29" customHeight="1">
      <x:c r="A59" s="3" t="str">
        <x:v>R0055</x:v>
      </x:c>
      <x:c r="B59" s="3" t="str">
        <x:v>Q6/support_score</x:v>
      </x:c>
      <x:c r="C59" s="3" t="str">
        <x:v>proportion/非常不满意</x:v>
      </x:c>
      <x:c r="D59" s="3" t="str">
        <x:v>总体</x:v>
      </x:c>
      <x:c r="E59" s="3" t="n">
        <x:v>0</x:v>
      </x:c>
      <x:c r="F59" s="3" t="n">
        <x:v>28</x:v>
      </x:c>
      <x:c r="G59" s="3" t="str">
        <x:v>有效人数</x:v>
      </x:c>
      <x:c r="H59" s="9" t="n">
        <x:f>IF(F59=0,"—",E59/F59)</x:f>
        <x:v>0</x:v>
      </x:c>
      <x:c r="I59" s="3" t="n">
        <x:v>28</x:v>
      </x:c>
      <x:c r="J59" s="3" t="str">
        <x:v>未加权</x:v>
      </x:c>
      <x:c r="K59" s="3" t="str">
        <x:v>synthetic-v1</x:v>
      </x:c>
      <x:c r="L59" s="3" t="str">
        <x:v>满意度与推荐!C20</x:v>
      </x:c>
    </x:row>
    <x:row r="60" ht="29" customHeight="1">
      <x:c r="A60" s="8" t="str">
        <x:v>R0056</x:v>
      </x:c>
      <x:c r="B60" s="8" t="str">
        <x:v>Q6/support_score</x:v>
      </x:c>
      <x:c r="C60" s="8" t="str">
        <x:v>proportion/非常不满意</x:v>
      </x:c>
      <x:c r="D60" s="8" t="str">
        <x:v>养宠家庭</x:v>
      </x:c>
      <x:c r="E60" s="8" t="n">
        <x:v>0</x:v>
      </x:c>
      <x:c r="F60" s="8" t="n">
        <x:v>13</x:v>
      </x:c>
      <x:c r="G60" s="8" t="str">
        <x:v>有效人数</x:v>
      </x:c>
      <x:c r="H60" s="10" t="n">
        <x:f>IF(F60=0,"—",E60/F60)</x:f>
        <x:v>0</x:v>
      </x:c>
      <x:c r="I60" s="8" t="n">
        <x:v>13</x:v>
      </x:c>
      <x:c r="J60" s="8" t="str">
        <x:v>未加权</x:v>
      </x:c>
      <x:c r="K60" s="8" t="str">
        <x:v>synthetic-v1</x:v>
      </x:c>
      <x:c r="L60" s="8" t="str">
        <x:v>满意度与推荐!D20</x:v>
      </x:c>
    </x:row>
    <x:row r="61" ht="29" customHeight="1">
      <x:c r="A61" s="3" t="str">
        <x:v>R0057</x:v>
      </x:c>
      <x:c r="B61" s="3" t="str">
        <x:v>Q6/support_score</x:v>
      </x:c>
      <x:c r="C61" s="3" t="str">
        <x:v>proportion/非常不满意</x:v>
      </x:c>
      <x:c r="D61" s="3" t="str">
        <x:v>无宠家庭</x:v>
      </x:c>
      <x:c r="E61" s="3" t="n">
        <x:v>0</x:v>
      </x:c>
      <x:c r="F61" s="3" t="n">
        <x:v>15</x:v>
      </x:c>
      <x:c r="G61" s="3" t="str">
        <x:v>有效人数</x:v>
      </x:c>
      <x:c r="H61" s="9" t="n">
        <x:f>IF(F61=0,"—",E61/F61)</x:f>
        <x:v>0</x:v>
      </x:c>
      <x:c r="I61" s="3" t="n">
        <x:v>15</x:v>
      </x:c>
      <x:c r="J61" s="3" t="str">
        <x:v>未加权</x:v>
      </x:c>
      <x:c r="K61" s="3" t="str">
        <x:v>synthetic-v1</x:v>
      </x:c>
      <x:c r="L61" s="3" t="str">
        <x:v>满意度与推荐!E20</x:v>
      </x:c>
    </x:row>
    <x:row r="62" ht="29" customHeight="1">
      <x:c r="A62" s="8" t="str">
        <x:v>R0058</x:v>
      </x:c>
      <x:c r="B62" s="8" t="str">
        <x:v>Q6/support_score</x:v>
      </x:c>
      <x:c r="C62" s="8" t="str">
        <x:v>proportion/比较不满意</x:v>
      </x:c>
      <x:c r="D62" s="8" t="str">
        <x:v>总体</x:v>
      </x:c>
      <x:c r="E62" s="8" t="n">
        <x:v>9</x:v>
      </x:c>
      <x:c r="F62" s="8" t="n">
        <x:v>28</x:v>
      </x:c>
      <x:c r="G62" s="8" t="str">
        <x:v>有效人数</x:v>
      </x:c>
      <x:c r="H62" s="10" t="n">
        <x:f>IF(F62=0,"—",E62/F62)</x:f>
        <x:v>0.32142857142857145</x:v>
      </x:c>
      <x:c r="I62" s="8" t="n">
        <x:v>28</x:v>
      </x:c>
      <x:c r="J62" s="8" t="str">
        <x:v>未加权</x:v>
      </x:c>
      <x:c r="K62" s="8" t="str">
        <x:v>synthetic-v1</x:v>
      </x:c>
      <x:c r="L62" s="8" t="str">
        <x:v>满意度与推荐!C21</x:v>
      </x:c>
    </x:row>
    <x:row r="63" ht="29" customHeight="1">
      <x:c r="A63" s="3" t="str">
        <x:v>R0059</x:v>
      </x:c>
      <x:c r="B63" s="3" t="str">
        <x:v>Q6/support_score</x:v>
      </x:c>
      <x:c r="C63" s="3" t="str">
        <x:v>proportion/比较不满意</x:v>
      </x:c>
      <x:c r="D63" s="3" t="str">
        <x:v>养宠家庭</x:v>
      </x:c>
      <x:c r="E63" s="3" t="n">
        <x:v>6</x:v>
      </x:c>
      <x:c r="F63" s="3" t="n">
        <x:v>13</x:v>
      </x:c>
      <x:c r="G63" s="3" t="str">
        <x:v>有效人数</x:v>
      </x:c>
      <x:c r="H63" s="9" t="n">
        <x:f>IF(F63=0,"—",E63/F63)</x:f>
        <x:v>0.46153846153846156</x:v>
      </x:c>
      <x:c r="I63" s="3" t="n">
        <x:v>13</x:v>
      </x:c>
      <x:c r="J63" s="3" t="str">
        <x:v>未加权</x:v>
      </x:c>
      <x:c r="K63" s="3" t="str">
        <x:v>synthetic-v1</x:v>
      </x:c>
      <x:c r="L63" s="3" t="str">
        <x:v>满意度与推荐!D21</x:v>
      </x:c>
    </x:row>
    <x:row r="64" ht="29" customHeight="1">
      <x:c r="A64" s="8" t="str">
        <x:v>R0060</x:v>
      </x:c>
      <x:c r="B64" s="8" t="str">
        <x:v>Q6/support_score</x:v>
      </x:c>
      <x:c r="C64" s="8" t="str">
        <x:v>proportion/比较不满意</x:v>
      </x:c>
      <x:c r="D64" s="8" t="str">
        <x:v>无宠家庭</x:v>
      </x:c>
      <x:c r="E64" s="8" t="n">
        <x:v>3</x:v>
      </x:c>
      <x:c r="F64" s="8" t="n">
        <x:v>15</x:v>
      </x:c>
      <x:c r="G64" s="8" t="str">
        <x:v>有效人数</x:v>
      </x:c>
      <x:c r="H64" s="10" t="n">
        <x:f>IF(F64=0,"—",E64/F64)</x:f>
        <x:v>0.2</x:v>
      </x:c>
      <x:c r="I64" s="8" t="n">
        <x:v>15</x:v>
      </x:c>
      <x:c r="J64" s="8" t="str">
        <x:v>未加权</x:v>
      </x:c>
      <x:c r="K64" s="8" t="str">
        <x:v>synthetic-v1</x:v>
      </x:c>
      <x:c r="L64" s="8" t="str">
        <x:v>满意度与推荐!E21</x:v>
      </x:c>
    </x:row>
    <x:row r="65" ht="29" customHeight="1">
      <x:c r="A65" s="3" t="str">
        <x:v>R0061</x:v>
      </x:c>
      <x:c r="B65" s="3" t="str">
        <x:v>Q6/support_score</x:v>
      </x:c>
      <x:c r="C65" s="3" t="str">
        <x:v>proportion/一般</x:v>
      </x:c>
      <x:c r="D65" s="3" t="str">
        <x:v>总体</x:v>
      </x:c>
      <x:c r="E65" s="3" t="n">
        <x:v>7</x:v>
      </x:c>
      <x:c r="F65" s="3" t="n">
        <x:v>28</x:v>
      </x:c>
      <x:c r="G65" s="3" t="str">
        <x:v>有效人数</x:v>
      </x:c>
      <x:c r="H65" s="9" t="n">
        <x:f>IF(F65=0,"—",E65/F65)</x:f>
        <x:v>0.25</x:v>
      </x:c>
      <x:c r="I65" s="3" t="n">
        <x:v>28</x:v>
      </x:c>
      <x:c r="J65" s="3" t="str">
        <x:v>未加权</x:v>
      </x:c>
      <x:c r="K65" s="3" t="str">
        <x:v>synthetic-v1</x:v>
      </x:c>
      <x:c r="L65" s="3" t="str">
        <x:v>满意度与推荐!C22</x:v>
      </x:c>
    </x:row>
    <x:row r="66" ht="29" customHeight="1">
      <x:c r="A66" s="8" t="str">
        <x:v>R0062</x:v>
      </x:c>
      <x:c r="B66" s="8" t="str">
        <x:v>Q6/support_score</x:v>
      </x:c>
      <x:c r="C66" s="8" t="str">
        <x:v>proportion/一般</x:v>
      </x:c>
      <x:c r="D66" s="8" t="str">
        <x:v>养宠家庭</x:v>
      </x:c>
      <x:c r="E66" s="8" t="n">
        <x:v>2</x:v>
      </x:c>
      <x:c r="F66" s="8" t="n">
        <x:v>13</x:v>
      </x:c>
      <x:c r="G66" s="8" t="str">
        <x:v>有效人数</x:v>
      </x:c>
      <x:c r="H66" s="10" t="n">
        <x:f>IF(F66=0,"—",E66/F66)</x:f>
        <x:v>0.15384615384615385</x:v>
      </x:c>
      <x:c r="I66" s="8" t="n">
        <x:v>13</x:v>
      </x:c>
      <x:c r="J66" s="8" t="str">
        <x:v>未加权</x:v>
      </x:c>
      <x:c r="K66" s="8" t="str">
        <x:v>synthetic-v1</x:v>
      </x:c>
      <x:c r="L66" s="8" t="str">
        <x:v>满意度与推荐!D22</x:v>
      </x:c>
    </x:row>
    <x:row r="67" ht="29" customHeight="1">
      <x:c r="A67" s="3" t="str">
        <x:v>R0063</x:v>
      </x:c>
      <x:c r="B67" s="3" t="str">
        <x:v>Q6/support_score</x:v>
      </x:c>
      <x:c r="C67" s="3" t="str">
        <x:v>proportion/一般</x:v>
      </x:c>
      <x:c r="D67" s="3" t="str">
        <x:v>无宠家庭</x:v>
      </x:c>
      <x:c r="E67" s="3" t="n">
        <x:v>5</x:v>
      </x:c>
      <x:c r="F67" s="3" t="n">
        <x:v>15</x:v>
      </x:c>
      <x:c r="G67" s="3" t="str">
        <x:v>有效人数</x:v>
      </x:c>
      <x:c r="H67" s="9" t="n">
        <x:f>IF(F67=0,"—",E67/F67)</x:f>
        <x:v>0.3333333333333333</x:v>
      </x:c>
      <x:c r="I67" s="3" t="n">
        <x:v>15</x:v>
      </x:c>
      <x:c r="J67" s="3" t="str">
        <x:v>未加权</x:v>
      </x:c>
      <x:c r="K67" s="3" t="str">
        <x:v>synthetic-v1</x:v>
      </x:c>
      <x:c r="L67" s="3" t="str">
        <x:v>满意度与推荐!E22</x:v>
      </x:c>
    </x:row>
    <x:row r="68" ht="29" customHeight="1">
      <x:c r="A68" s="8" t="str">
        <x:v>R0064</x:v>
      </x:c>
      <x:c r="B68" s="8" t="str">
        <x:v>Q6/support_score</x:v>
      </x:c>
      <x:c r="C68" s="8" t="str">
        <x:v>proportion/比较满意</x:v>
      </x:c>
      <x:c r="D68" s="8" t="str">
        <x:v>总体</x:v>
      </x:c>
      <x:c r="E68" s="8" t="n">
        <x:v>2</x:v>
      </x:c>
      <x:c r="F68" s="8" t="n">
        <x:v>28</x:v>
      </x:c>
      <x:c r="G68" s="8" t="str">
        <x:v>有效人数</x:v>
      </x:c>
      <x:c r="H68" s="10" t="n">
        <x:f>IF(F68=0,"—",E68/F68)</x:f>
        <x:v>0.07142857142857142</x:v>
      </x:c>
      <x:c r="I68" s="8" t="n">
        <x:v>28</x:v>
      </x:c>
      <x:c r="J68" s="8" t="str">
        <x:v>未加权</x:v>
      </x:c>
      <x:c r="K68" s="8" t="str">
        <x:v>synthetic-v1</x:v>
      </x:c>
      <x:c r="L68" s="8" t="str">
        <x:v>满意度与推荐!C23</x:v>
      </x:c>
    </x:row>
    <x:row r="69" ht="29" customHeight="1">
      <x:c r="A69" s="3" t="str">
        <x:v>R0065</x:v>
      </x:c>
      <x:c r="B69" s="3" t="str">
        <x:v>Q6/support_score</x:v>
      </x:c>
      <x:c r="C69" s="3" t="str">
        <x:v>proportion/比较满意</x:v>
      </x:c>
      <x:c r="D69" s="3" t="str">
        <x:v>养宠家庭</x:v>
      </x:c>
      <x:c r="E69" s="3" t="n">
        <x:v>1</x:v>
      </x:c>
      <x:c r="F69" s="3" t="n">
        <x:v>13</x:v>
      </x:c>
      <x:c r="G69" s="3" t="str">
        <x:v>有效人数</x:v>
      </x:c>
      <x:c r="H69" s="9" t="n">
        <x:f>IF(F69=0,"—",E69/F69)</x:f>
        <x:v>0.07692307692307693</x:v>
      </x:c>
      <x:c r="I69" s="3" t="n">
        <x:v>13</x:v>
      </x:c>
      <x:c r="J69" s="3" t="str">
        <x:v>未加权</x:v>
      </x:c>
      <x:c r="K69" s="3" t="str">
        <x:v>synthetic-v1</x:v>
      </x:c>
      <x:c r="L69" s="3" t="str">
        <x:v>满意度与推荐!D23</x:v>
      </x:c>
    </x:row>
    <x:row r="70" ht="29" customHeight="1">
      <x:c r="A70" s="8" t="str">
        <x:v>R0066</x:v>
      </x:c>
      <x:c r="B70" s="8" t="str">
        <x:v>Q6/support_score</x:v>
      </x:c>
      <x:c r="C70" s="8" t="str">
        <x:v>proportion/比较满意</x:v>
      </x:c>
      <x:c r="D70" s="8" t="str">
        <x:v>无宠家庭</x:v>
      </x:c>
      <x:c r="E70" s="8" t="n">
        <x:v>1</x:v>
      </x:c>
      <x:c r="F70" s="8" t="n">
        <x:v>15</x:v>
      </x:c>
      <x:c r="G70" s="8" t="str">
        <x:v>有效人数</x:v>
      </x:c>
      <x:c r="H70" s="10" t="n">
        <x:f>IF(F70=0,"—",E70/F70)</x:f>
        <x:v>0.06666666666666667</x:v>
      </x:c>
      <x:c r="I70" s="8" t="n">
        <x:v>15</x:v>
      </x:c>
      <x:c r="J70" s="8" t="str">
        <x:v>未加权</x:v>
      </x:c>
      <x:c r="K70" s="8" t="str">
        <x:v>synthetic-v1</x:v>
      </x:c>
      <x:c r="L70" s="8" t="str">
        <x:v>满意度与推荐!E23</x:v>
      </x:c>
    </x:row>
    <x:row r="71" ht="29" customHeight="1">
      <x:c r="A71" s="3" t="str">
        <x:v>R0067</x:v>
      </x:c>
      <x:c r="B71" s="3" t="str">
        <x:v>Q6/support_score</x:v>
      </x:c>
      <x:c r="C71" s="3" t="str">
        <x:v>proportion/非常满意</x:v>
      </x:c>
      <x:c r="D71" s="3" t="str">
        <x:v>总体</x:v>
      </x:c>
      <x:c r="E71" s="3" t="n">
        <x:v>10</x:v>
      </x:c>
      <x:c r="F71" s="3" t="n">
        <x:v>28</x:v>
      </x:c>
      <x:c r="G71" s="3" t="str">
        <x:v>有效人数</x:v>
      </x:c>
      <x:c r="H71" s="9" t="n">
        <x:f>IF(F71=0,"—",E71/F71)</x:f>
        <x:v>0.35714285714285715</x:v>
      </x:c>
      <x:c r="I71" s="3" t="n">
        <x:v>28</x:v>
      </x:c>
      <x:c r="J71" s="3" t="str">
        <x:v>未加权</x:v>
      </x:c>
      <x:c r="K71" s="3" t="str">
        <x:v>synthetic-v1</x:v>
      </x:c>
      <x:c r="L71" s="3" t="str">
        <x:v>满意度与推荐!C24</x:v>
      </x:c>
    </x:row>
    <x:row r="72" ht="29" customHeight="1">
      <x:c r="A72" s="8" t="str">
        <x:v>R0068</x:v>
      </x:c>
      <x:c r="B72" s="8" t="str">
        <x:v>Q6/support_score</x:v>
      </x:c>
      <x:c r="C72" s="8" t="str">
        <x:v>proportion/非常满意</x:v>
      </x:c>
      <x:c r="D72" s="8" t="str">
        <x:v>养宠家庭</x:v>
      </x:c>
      <x:c r="E72" s="8" t="n">
        <x:v>4</x:v>
      </x:c>
      <x:c r="F72" s="8" t="n">
        <x:v>13</x:v>
      </x:c>
      <x:c r="G72" s="8" t="str">
        <x:v>有效人数</x:v>
      </x:c>
      <x:c r="H72" s="10" t="n">
        <x:f>IF(F72=0,"—",E72/F72)</x:f>
        <x:v>0.3076923076923077</x:v>
      </x:c>
      <x:c r="I72" s="8" t="n">
        <x:v>13</x:v>
      </x:c>
      <x:c r="J72" s="8" t="str">
        <x:v>未加权</x:v>
      </x:c>
      <x:c r="K72" s="8" t="str">
        <x:v>synthetic-v1</x:v>
      </x:c>
      <x:c r="L72" s="8" t="str">
        <x:v>满意度与推荐!D24</x:v>
      </x:c>
    </x:row>
    <x:row r="73" ht="29" customHeight="1">
      <x:c r="A73" s="3" t="str">
        <x:v>R0069</x:v>
      </x:c>
      <x:c r="B73" s="3" t="str">
        <x:v>Q6/support_score</x:v>
      </x:c>
      <x:c r="C73" s="3" t="str">
        <x:v>proportion/非常满意</x:v>
      </x:c>
      <x:c r="D73" s="3" t="str">
        <x:v>无宠家庭</x:v>
      </x:c>
      <x:c r="E73" s="3" t="n">
        <x:v>6</x:v>
      </x:c>
      <x:c r="F73" s="3" t="n">
        <x:v>15</x:v>
      </x:c>
      <x:c r="G73" s="3" t="str">
        <x:v>有效人数</x:v>
      </x:c>
      <x:c r="H73" s="9" t="n">
        <x:f>IF(F73=0,"—",E73/F73)</x:f>
        <x:v>0.4</x:v>
      </x:c>
      <x:c r="I73" s="3" t="n">
        <x:v>15</x:v>
      </x:c>
      <x:c r="J73" s="3" t="str">
        <x:v>未加权</x:v>
      </x:c>
      <x:c r="K73" s="3" t="str">
        <x:v>synthetic-v1</x:v>
      </x:c>
      <x:c r="L73" s="3" t="str">
        <x:v>满意度与推荐!E24</x:v>
      </x:c>
    </x:row>
    <x:row r="74" ht="29" customHeight="1">
      <x:c r="A74" s="8" t="str">
        <x:v>R0070</x:v>
      </x:c>
      <x:c r="B74" s="8" t="str">
        <x:v>Q6/support_score</x:v>
      </x:c>
      <x:c r="C74" s="8" t="str">
        <x:v>top2/TOP2</x:v>
      </x:c>
      <x:c r="D74" s="8" t="str">
        <x:v>总体</x:v>
      </x:c>
      <x:c r="E74" s="8" t="n">
        <x:v>12</x:v>
      </x:c>
      <x:c r="F74" s="8" t="n">
        <x:v>28</x:v>
      </x:c>
      <x:c r="G74" s="8" t="str">
        <x:v>有效人数</x:v>
      </x:c>
      <x:c r="H74" s="10" t="n">
        <x:f>IF(F74=0,"—",E74/F74)</x:f>
        <x:v>0.42857142857142855</x:v>
      </x:c>
      <x:c r="I74" s="8" t="n">
        <x:v>28</x:v>
      </x:c>
      <x:c r="J74" s="8" t="str">
        <x:v>未加权</x:v>
      </x:c>
      <x:c r="K74" s="8" t="str">
        <x:v>synthetic-v1</x:v>
      </x:c>
      <x:c r="L74" s="8" t="str">
        <x:v>满意度与推荐!C25</x:v>
      </x:c>
    </x:row>
    <x:row r="75" ht="29" customHeight="1">
      <x:c r="A75" s="3" t="str">
        <x:v>R0071</x:v>
      </x:c>
      <x:c r="B75" s="3" t="str">
        <x:v>Q6/support_score</x:v>
      </x:c>
      <x:c r="C75" s="3" t="str">
        <x:v>top2/TOP2</x:v>
      </x:c>
      <x:c r="D75" s="3" t="str">
        <x:v>养宠家庭</x:v>
      </x:c>
      <x:c r="E75" s="3" t="n">
        <x:v>5</x:v>
      </x:c>
      <x:c r="F75" s="3" t="n">
        <x:v>13</x:v>
      </x:c>
      <x:c r="G75" s="3" t="str">
        <x:v>有效人数</x:v>
      </x:c>
      <x:c r="H75" s="9" t="n">
        <x:f>IF(F75=0,"—",E75/F75)</x:f>
        <x:v>0.38461538461538464</x:v>
      </x:c>
      <x:c r="I75" s="3" t="n">
        <x:v>13</x:v>
      </x:c>
      <x:c r="J75" s="3" t="str">
        <x:v>未加权</x:v>
      </x:c>
      <x:c r="K75" s="3" t="str">
        <x:v>synthetic-v1</x:v>
      </x:c>
      <x:c r="L75" s="3" t="str">
        <x:v>满意度与推荐!D25</x:v>
      </x:c>
    </x:row>
    <x:row r="76" ht="29" customHeight="1">
      <x:c r="A76" s="8" t="str">
        <x:v>R0072</x:v>
      </x:c>
      <x:c r="B76" s="8" t="str">
        <x:v>Q6/support_score</x:v>
      </x:c>
      <x:c r="C76" s="8" t="str">
        <x:v>top2/TOP2</x:v>
      </x:c>
      <x:c r="D76" s="8" t="str">
        <x:v>无宠家庭</x:v>
      </x:c>
      <x:c r="E76" s="8" t="n">
        <x:v>7</x:v>
      </x:c>
      <x:c r="F76" s="8" t="n">
        <x:v>15</x:v>
      </x:c>
      <x:c r="G76" s="8" t="str">
        <x:v>有效人数</x:v>
      </x:c>
      <x:c r="H76" s="10" t="n">
        <x:f>IF(F76=0,"—",E76/F76)</x:f>
        <x:v>0.4666666666666667</x:v>
      </x:c>
      <x:c r="I76" s="8" t="n">
        <x:v>15</x:v>
      </x:c>
      <x:c r="J76" s="8" t="str">
        <x:v>未加权</x:v>
      </x:c>
      <x:c r="K76" s="8" t="str">
        <x:v>synthetic-v1</x:v>
      </x:c>
      <x:c r="L76" s="8" t="str">
        <x:v>满意度与推荐!E25</x:v>
      </x:c>
    </x:row>
    <x:row r="77" ht="29" customHeight="1">
      <x:c r="A77" s="3" t="str">
        <x:v>R0073</x:v>
      </x:c>
      <x:c r="B77" s="3" t="str">
        <x:v>Q6/support_score</x:v>
      </x:c>
      <x:c r="C77" s="3" t="str">
        <x:v>mean/均值</x:v>
      </x:c>
      <x:c r="D77" s="3" t="str">
        <x:v>总体</x:v>
      </x:c>
      <x:c r="E77" s="3" t="n">
        <x:v>97</x:v>
      </x:c>
      <x:c r="F77" s="3" t="n">
        <x:v>28</x:v>
      </x:c>
      <x:c r="G77" s="3" t="str">
        <x:v>有效人数</x:v>
      </x:c>
      <x:c r="H77" s="17" t="n">
        <x:f>IF(F77=0,"—",E77/F77)</x:f>
        <x:v>3.4642857142857144</x:v>
      </x:c>
      <x:c r="I77" s="3" t="n">
        <x:v>28</x:v>
      </x:c>
      <x:c r="J77" s="3" t="str">
        <x:v>未加权</x:v>
      </x:c>
      <x:c r="K77" s="3" t="str">
        <x:v>synthetic-v1</x:v>
      </x:c>
      <x:c r="L77" s="3" t="str">
        <x:v>满意度与推荐!C26</x:v>
      </x:c>
    </x:row>
    <x:row r="78" ht="29" customHeight="1">
      <x:c r="A78" s="8" t="str">
        <x:v>R0074</x:v>
      </x:c>
      <x:c r="B78" s="8" t="str">
        <x:v>Q6/support_score</x:v>
      </x:c>
      <x:c r="C78" s="8" t="str">
        <x:v>mean/均值</x:v>
      </x:c>
      <x:c r="D78" s="8" t="str">
        <x:v>养宠家庭</x:v>
      </x:c>
      <x:c r="E78" s="8" t="n">
        <x:v>42</x:v>
      </x:c>
      <x:c r="F78" s="8" t="n">
        <x:v>13</x:v>
      </x:c>
      <x:c r="G78" s="8" t="str">
        <x:v>有效人数</x:v>
      </x:c>
      <x:c r="H78" s="19" t="n">
        <x:f>IF(F78=0,"—",E78/F78)</x:f>
        <x:v>3.230769230769231</x:v>
      </x:c>
      <x:c r="I78" s="8" t="n">
        <x:v>13</x:v>
      </x:c>
      <x:c r="J78" s="8" t="str">
        <x:v>未加权</x:v>
      </x:c>
      <x:c r="K78" s="8" t="str">
        <x:v>synthetic-v1</x:v>
      </x:c>
      <x:c r="L78" s="8" t="str">
        <x:v>满意度与推荐!D26</x:v>
      </x:c>
    </x:row>
    <x:row r="79" ht="29" customHeight="1">
      <x:c r="A79" s="3" t="str">
        <x:v>R0075</x:v>
      </x:c>
      <x:c r="B79" s="3" t="str">
        <x:v>Q6/support_score</x:v>
      </x:c>
      <x:c r="C79" s="3" t="str">
        <x:v>mean/均值</x:v>
      </x:c>
      <x:c r="D79" s="3" t="str">
        <x:v>无宠家庭</x:v>
      </x:c>
      <x:c r="E79" s="3" t="n">
        <x:v>55</x:v>
      </x:c>
      <x:c r="F79" s="3" t="n">
        <x:v>15</x:v>
      </x:c>
      <x:c r="G79" s="3" t="str">
        <x:v>有效人数</x:v>
      </x:c>
      <x:c r="H79" s="17" t="n">
        <x:f>IF(F79=0,"—",E79/F79)</x:f>
        <x:v>3.6666666666666665</x:v>
      </x:c>
      <x:c r="I79" s="3" t="n">
        <x:v>15</x:v>
      </x:c>
      <x:c r="J79" s="3" t="str">
        <x:v>未加权</x:v>
      </x:c>
      <x:c r="K79" s="3" t="str">
        <x:v>synthetic-v1</x:v>
      </x:c>
      <x:c r="L79" s="3" t="str">
        <x:v>满意度与推荐!E26</x:v>
      </x:c>
    </x:row>
    <x:row r="80" ht="29" customHeight="1">
      <x:c r="A80" s="8" t="str">
        <x:v>R0076</x:v>
      </x:c>
      <x:c r="B80" s="8" t="str">
        <x:v>Q7/recommend</x:v>
      </x:c>
      <x:c r="C80" s="8" t="str">
        <x:v>proportion/0分</x:v>
      </x:c>
      <x:c r="D80" s="8" t="str">
        <x:v>总体</x:v>
      </x:c>
      <x:c r="E80" s="8" t="n">
        <x:v>5</x:v>
      </x:c>
      <x:c r="F80" s="8" t="n">
        <x:v>115</x:v>
      </x:c>
      <x:c r="G80" s="8" t="str">
        <x:v>有效人数</x:v>
      </x:c>
      <x:c r="H80" s="10" t="n">
        <x:f>IF(F80=0,"—",E80/F80)</x:f>
        <x:v>0.043478260869565216</x:v>
      </x:c>
      <x:c r="I80" s="8" t="n">
        <x:v>115</x:v>
      </x:c>
      <x:c r="J80" s="8" t="str">
        <x:v>未加权</x:v>
      </x:c>
      <x:c r="K80" s="8" t="str">
        <x:v>synthetic-v1</x:v>
      </x:c>
      <x:c r="L80" s="8" t="str">
        <x:v>满意度与推荐!C30</x:v>
      </x:c>
    </x:row>
    <x:row r="81" ht="29" customHeight="1">
      <x:c r="A81" s="3" t="str">
        <x:v>R0077</x:v>
      </x:c>
      <x:c r="B81" s="3" t="str">
        <x:v>Q7/recommend</x:v>
      </x:c>
      <x:c r="C81" s="3" t="str">
        <x:v>proportion/0分</x:v>
      </x:c>
      <x:c r="D81" s="3" t="str">
        <x:v>养宠家庭</x:v>
      </x:c>
      <x:c r="E81" s="3" t="n">
        <x:v>4</x:v>
      </x:c>
      <x:c r="F81" s="3" t="n">
        <x:v>57</x:v>
      </x:c>
      <x:c r="G81" s="3" t="str">
        <x:v>有效人数</x:v>
      </x:c>
      <x:c r="H81" s="9" t="n">
        <x:f>IF(F81=0,"—",E81/F81)</x:f>
        <x:v>0.07017543859649122</x:v>
      </x:c>
      <x:c r="I81" s="3" t="n">
        <x:v>57</x:v>
      </x:c>
      <x:c r="J81" s="3" t="str">
        <x:v>未加权</x:v>
      </x:c>
      <x:c r="K81" s="3" t="str">
        <x:v>synthetic-v1</x:v>
      </x:c>
      <x:c r="L81" s="3" t="str">
        <x:v>满意度与推荐!D30</x:v>
      </x:c>
    </x:row>
    <x:row r="82" ht="29" customHeight="1">
      <x:c r="A82" s="8" t="str">
        <x:v>R0078</x:v>
      </x:c>
      <x:c r="B82" s="8" t="str">
        <x:v>Q7/recommend</x:v>
      </x:c>
      <x:c r="C82" s="8" t="str">
        <x:v>proportion/0分</x:v>
      </x:c>
      <x:c r="D82" s="8" t="str">
        <x:v>无宠家庭</x:v>
      </x:c>
      <x:c r="E82" s="8" t="n">
        <x:v>1</x:v>
      </x:c>
      <x:c r="F82" s="8" t="n">
        <x:v>58</x:v>
      </x:c>
      <x:c r="G82" s="8" t="str">
        <x:v>有效人数</x:v>
      </x:c>
      <x:c r="H82" s="10" t="n">
        <x:f>IF(F82=0,"—",E82/F82)</x:f>
        <x:v>0.017241379310344827</x:v>
      </x:c>
      <x:c r="I82" s="8" t="n">
        <x:v>58</x:v>
      </x:c>
      <x:c r="J82" s="8" t="str">
        <x:v>未加权</x:v>
      </x:c>
      <x:c r="K82" s="8" t="str">
        <x:v>synthetic-v1</x:v>
      </x:c>
      <x:c r="L82" s="8" t="str">
        <x:v>满意度与推荐!E30</x:v>
      </x:c>
    </x:row>
    <x:row r="83" ht="29" customHeight="1">
      <x:c r="A83" s="3" t="str">
        <x:v>R0079</x:v>
      </x:c>
      <x:c r="B83" s="3" t="str">
        <x:v>Q7/recommend</x:v>
      </x:c>
      <x:c r="C83" s="3" t="str">
        <x:v>proportion/1分</x:v>
      </x:c>
      <x:c r="D83" s="3" t="str">
        <x:v>总体</x:v>
      </x:c>
      <x:c r="E83" s="3" t="n">
        <x:v>3</x:v>
      </x:c>
      <x:c r="F83" s="3" t="n">
        <x:v>115</x:v>
      </x:c>
      <x:c r="G83" s="3" t="str">
        <x:v>有效人数</x:v>
      </x:c>
      <x:c r="H83" s="9" t="n">
        <x:f>IF(F83=0,"—",E83/F83)</x:f>
        <x:v>0.02608695652173913</x:v>
      </x:c>
      <x:c r="I83" s="3" t="n">
        <x:v>115</x:v>
      </x:c>
      <x:c r="J83" s="3" t="str">
        <x:v>未加权</x:v>
      </x:c>
      <x:c r="K83" s="3" t="str">
        <x:v>synthetic-v1</x:v>
      </x:c>
      <x:c r="L83" s="3" t="str">
        <x:v>满意度与推荐!C31</x:v>
      </x:c>
    </x:row>
    <x:row r="84" ht="29" customHeight="1">
      <x:c r="A84" s="8" t="str">
        <x:v>R0080</x:v>
      </x:c>
      <x:c r="B84" s="8" t="str">
        <x:v>Q7/recommend</x:v>
      </x:c>
      <x:c r="C84" s="8" t="str">
        <x:v>proportion/1分</x:v>
      </x:c>
      <x:c r="D84" s="8" t="str">
        <x:v>养宠家庭</x:v>
      </x:c>
      <x:c r="E84" s="8" t="n">
        <x:v>2</x:v>
      </x:c>
      <x:c r="F84" s="8" t="n">
        <x:v>57</x:v>
      </x:c>
      <x:c r="G84" s="8" t="str">
        <x:v>有效人数</x:v>
      </x:c>
      <x:c r="H84" s="10" t="n">
        <x:f>IF(F84=0,"—",E84/F84)</x:f>
        <x:v>0.03508771929824561</x:v>
      </x:c>
      <x:c r="I84" s="8" t="n">
        <x:v>57</x:v>
      </x:c>
      <x:c r="J84" s="8" t="str">
        <x:v>未加权</x:v>
      </x:c>
      <x:c r="K84" s="8" t="str">
        <x:v>synthetic-v1</x:v>
      </x:c>
      <x:c r="L84" s="8" t="str">
        <x:v>满意度与推荐!D31</x:v>
      </x:c>
    </x:row>
    <x:row r="85" ht="29" customHeight="1">
      <x:c r="A85" s="3" t="str">
        <x:v>R0081</x:v>
      </x:c>
      <x:c r="B85" s="3" t="str">
        <x:v>Q7/recommend</x:v>
      </x:c>
      <x:c r="C85" s="3" t="str">
        <x:v>proportion/1分</x:v>
      </x:c>
      <x:c r="D85" s="3" t="str">
        <x:v>无宠家庭</x:v>
      </x:c>
      <x:c r="E85" s="3" t="n">
        <x:v>1</x:v>
      </x:c>
      <x:c r="F85" s="3" t="n">
        <x:v>58</x:v>
      </x:c>
      <x:c r="G85" s="3" t="str">
        <x:v>有效人数</x:v>
      </x:c>
      <x:c r="H85" s="9" t="n">
        <x:f>IF(F85=0,"—",E85/F85)</x:f>
        <x:v>0.017241379310344827</x:v>
      </x:c>
      <x:c r="I85" s="3" t="n">
        <x:v>58</x:v>
      </x:c>
      <x:c r="J85" s="3" t="str">
        <x:v>未加权</x:v>
      </x:c>
      <x:c r="K85" s="3" t="str">
        <x:v>synthetic-v1</x:v>
      </x:c>
      <x:c r="L85" s="3" t="str">
        <x:v>满意度与推荐!E31</x:v>
      </x:c>
    </x:row>
    <x:row r="86" ht="29" customHeight="1">
      <x:c r="A86" s="8" t="str">
        <x:v>R0082</x:v>
      </x:c>
      <x:c r="B86" s="8" t="str">
        <x:v>Q7/recommend</x:v>
      </x:c>
      <x:c r="C86" s="8" t="str">
        <x:v>proportion/2分</x:v>
      </x:c>
      <x:c r="D86" s="8" t="str">
        <x:v>总体</x:v>
      </x:c>
      <x:c r="E86" s="8" t="n">
        <x:v>4</x:v>
      </x:c>
      <x:c r="F86" s="8" t="n">
        <x:v>115</x:v>
      </x:c>
      <x:c r="G86" s="8" t="str">
        <x:v>有效人数</x:v>
      </x:c>
      <x:c r="H86" s="10" t="n">
        <x:f>IF(F86=0,"—",E86/F86)</x:f>
        <x:v>0.034782608695652174</x:v>
      </x:c>
      <x:c r="I86" s="8" t="n">
        <x:v>115</x:v>
      </x:c>
      <x:c r="J86" s="8" t="str">
        <x:v>未加权</x:v>
      </x:c>
      <x:c r="K86" s="8" t="str">
        <x:v>synthetic-v1</x:v>
      </x:c>
      <x:c r="L86" s="8" t="str">
        <x:v>满意度与推荐!C32</x:v>
      </x:c>
    </x:row>
    <x:row r="87" ht="29" customHeight="1">
      <x:c r="A87" s="3" t="str">
        <x:v>R0083</x:v>
      </x:c>
      <x:c r="B87" s="3" t="str">
        <x:v>Q7/recommend</x:v>
      </x:c>
      <x:c r="C87" s="3" t="str">
        <x:v>proportion/2分</x:v>
      </x:c>
      <x:c r="D87" s="3" t="str">
        <x:v>养宠家庭</x:v>
      </x:c>
      <x:c r="E87" s="3" t="n">
        <x:v>3</x:v>
      </x:c>
      <x:c r="F87" s="3" t="n">
        <x:v>57</x:v>
      </x:c>
      <x:c r="G87" s="3" t="str">
        <x:v>有效人数</x:v>
      </x:c>
      <x:c r="H87" s="9" t="n">
        <x:f>IF(F87=0,"—",E87/F87)</x:f>
        <x:v>0.05263157894736842</x:v>
      </x:c>
      <x:c r="I87" s="3" t="n">
        <x:v>57</x:v>
      </x:c>
      <x:c r="J87" s="3" t="str">
        <x:v>未加权</x:v>
      </x:c>
      <x:c r="K87" s="3" t="str">
        <x:v>synthetic-v1</x:v>
      </x:c>
      <x:c r="L87" s="3" t="str">
        <x:v>满意度与推荐!D32</x:v>
      </x:c>
    </x:row>
    <x:row r="88" ht="29" customHeight="1">
      <x:c r="A88" s="8" t="str">
        <x:v>R0084</x:v>
      </x:c>
      <x:c r="B88" s="8" t="str">
        <x:v>Q7/recommend</x:v>
      </x:c>
      <x:c r="C88" s="8" t="str">
        <x:v>proportion/2分</x:v>
      </x:c>
      <x:c r="D88" s="8" t="str">
        <x:v>无宠家庭</x:v>
      </x:c>
      <x:c r="E88" s="8" t="n">
        <x:v>1</x:v>
      </x:c>
      <x:c r="F88" s="8" t="n">
        <x:v>58</x:v>
      </x:c>
      <x:c r="G88" s="8" t="str">
        <x:v>有效人数</x:v>
      </x:c>
      <x:c r="H88" s="10" t="n">
        <x:f>IF(F88=0,"—",E88/F88)</x:f>
        <x:v>0.017241379310344827</x:v>
      </x:c>
      <x:c r="I88" s="8" t="n">
        <x:v>58</x:v>
      </x:c>
      <x:c r="J88" s="8" t="str">
        <x:v>未加权</x:v>
      </x:c>
      <x:c r="K88" s="8" t="str">
        <x:v>synthetic-v1</x:v>
      </x:c>
      <x:c r="L88" s="8" t="str">
        <x:v>满意度与推荐!E32</x:v>
      </x:c>
    </x:row>
    <x:row r="89" ht="29" customHeight="1">
      <x:c r="A89" s="3" t="str">
        <x:v>R0085</x:v>
      </x:c>
      <x:c r="B89" s="3" t="str">
        <x:v>Q7/recommend</x:v>
      </x:c>
      <x:c r="C89" s="3" t="str">
        <x:v>proportion/3分</x:v>
      </x:c>
      <x:c r="D89" s="3" t="str">
        <x:v>总体</x:v>
      </x:c>
      <x:c r="E89" s="3" t="n">
        <x:v>8</x:v>
      </x:c>
      <x:c r="F89" s="3" t="n">
        <x:v>115</x:v>
      </x:c>
      <x:c r="G89" s="3" t="str">
        <x:v>有效人数</x:v>
      </x:c>
      <x:c r="H89" s="9" t="n">
        <x:f>IF(F89=0,"—",E89/F89)</x:f>
        <x:v>0.06956521739130435</x:v>
      </x:c>
      <x:c r="I89" s="3" t="n">
        <x:v>115</x:v>
      </x:c>
      <x:c r="J89" s="3" t="str">
        <x:v>未加权</x:v>
      </x:c>
      <x:c r="K89" s="3" t="str">
        <x:v>synthetic-v1</x:v>
      </x:c>
      <x:c r="L89" s="3" t="str">
        <x:v>满意度与推荐!C33</x:v>
      </x:c>
    </x:row>
    <x:row r="90" ht="29" customHeight="1">
      <x:c r="A90" s="8" t="str">
        <x:v>R0086</x:v>
      </x:c>
      <x:c r="B90" s="8" t="str">
        <x:v>Q7/recommend</x:v>
      </x:c>
      <x:c r="C90" s="8" t="str">
        <x:v>proportion/3分</x:v>
      </x:c>
      <x:c r="D90" s="8" t="str">
        <x:v>养宠家庭</x:v>
      </x:c>
      <x:c r="E90" s="8" t="n">
        <x:v>2</x:v>
      </x:c>
      <x:c r="F90" s="8" t="n">
        <x:v>57</x:v>
      </x:c>
      <x:c r="G90" s="8" t="str">
        <x:v>有效人数</x:v>
      </x:c>
      <x:c r="H90" s="10" t="n">
        <x:f>IF(F90=0,"—",E90/F90)</x:f>
        <x:v>0.03508771929824561</x:v>
      </x:c>
      <x:c r="I90" s="8" t="n">
        <x:v>57</x:v>
      </x:c>
      <x:c r="J90" s="8" t="str">
        <x:v>未加权</x:v>
      </x:c>
      <x:c r="K90" s="8" t="str">
        <x:v>synthetic-v1</x:v>
      </x:c>
      <x:c r="L90" s="8" t="str">
        <x:v>满意度与推荐!D33</x:v>
      </x:c>
    </x:row>
    <x:row r="91" ht="29" customHeight="1">
      <x:c r="A91" s="3" t="str">
        <x:v>R0087</x:v>
      </x:c>
      <x:c r="B91" s="3" t="str">
        <x:v>Q7/recommend</x:v>
      </x:c>
      <x:c r="C91" s="3" t="str">
        <x:v>proportion/3分</x:v>
      </x:c>
      <x:c r="D91" s="3" t="str">
        <x:v>无宠家庭</x:v>
      </x:c>
      <x:c r="E91" s="3" t="n">
        <x:v>6</x:v>
      </x:c>
      <x:c r="F91" s="3" t="n">
        <x:v>58</x:v>
      </x:c>
      <x:c r="G91" s="3" t="str">
        <x:v>有效人数</x:v>
      </x:c>
      <x:c r="H91" s="9" t="n">
        <x:f>IF(F91=0,"—",E91/F91)</x:f>
        <x:v>0.10344827586206896</x:v>
      </x:c>
      <x:c r="I91" s="3" t="n">
        <x:v>58</x:v>
      </x:c>
      <x:c r="J91" s="3" t="str">
        <x:v>未加权</x:v>
      </x:c>
      <x:c r="K91" s="3" t="str">
        <x:v>synthetic-v1</x:v>
      </x:c>
      <x:c r="L91" s="3" t="str">
        <x:v>满意度与推荐!E33</x:v>
      </x:c>
    </x:row>
    <x:row r="92" ht="29" customHeight="1">
      <x:c r="A92" s="8" t="str">
        <x:v>R0088</x:v>
      </x:c>
      <x:c r="B92" s="8" t="str">
        <x:v>Q7/recommend</x:v>
      </x:c>
      <x:c r="C92" s="8" t="str">
        <x:v>proportion/4分</x:v>
      </x:c>
      <x:c r="D92" s="8" t="str">
        <x:v>总体</x:v>
      </x:c>
      <x:c r="E92" s="8" t="n">
        <x:v>11</x:v>
      </x:c>
      <x:c r="F92" s="8" t="n">
        <x:v>115</x:v>
      </x:c>
      <x:c r="G92" s="8" t="str">
        <x:v>有效人数</x:v>
      </x:c>
      <x:c r="H92" s="10" t="n">
        <x:f>IF(F92=0,"—",E92/F92)</x:f>
        <x:v>0.09565217391304348</x:v>
      </x:c>
      <x:c r="I92" s="8" t="n">
        <x:v>115</x:v>
      </x:c>
      <x:c r="J92" s="8" t="str">
        <x:v>未加权</x:v>
      </x:c>
      <x:c r="K92" s="8" t="str">
        <x:v>synthetic-v1</x:v>
      </x:c>
      <x:c r="L92" s="8" t="str">
        <x:v>满意度与推荐!C34</x:v>
      </x:c>
    </x:row>
    <x:row r="93" ht="29" customHeight="1">
      <x:c r="A93" s="3" t="str">
        <x:v>R0089</x:v>
      </x:c>
      <x:c r="B93" s="3" t="str">
        <x:v>Q7/recommend</x:v>
      </x:c>
      <x:c r="C93" s="3" t="str">
        <x:v>proportion/4分</x:v>
      </x:c>
      <x:c r="D93" s="3" t="str">
        <x:v>养宠家庭</x:v>
      </x:c>
      <x:c r="E93" s="3" t="n">
        <x:v>4</x:v>
      </x:c>
      <x:c r="F93" s="3" t="n">
        <x:v>57</x:v>
      </x:c>
      <x:c r="G93" s="3" t="str">
        <x:v>有效人数</x:v>
      </x:c>
      <x:c r="H93" s="9" t="n">
        <x:f>IF(F93=0,"—",E93/F93)</x:f>
        <x:v>0.07017543859649122</x:v>
      </x:c>
      <x:c r="I93" s="3" t="n">
        <x:v>57</x:v>
      </x:c>
      <x:c r="J93" s="3" t="str">
        <x:v>未加权</x:v>
      </x:c>
      <x:c r="K93" s="3" t="str">
        <x:v>synthetic-v1</x:v>
      </x:c>
      <x:c r="L93" s="3" t="str">
        <x:v>满意度与推荐!D34</x:v>
      </x:c>
    </x:row>
    <x:row r="94" ht="29" customHeight="1">
      <x:c r="A94" s="8" t="str">
        <x:v>R0090</x:v>
      </x:c>
      <x:c r="B94" s="8" t="str">
        <x:v>Q7/recommend</x:v>
      </x:c>
      <x:c r="C94" s="8" t="str">
        <x:v>proportion/4分</x:v>
      </x:c>
      <x:c r="D94" s="8" t="str">
        <x:v>无宠家庭</x:v>
      </x:c>
      <x:c r="E94" s="8" t="n">
        <x:v>7</x:v>
      </x:c>
      <x:c r="F94" s="8" t="n">
        <x:v>58</x:v>
      </x:c>
      <x:c r="G94" s="8" t="str">
        <x:v>有效人数</x:v>
      </x:c>
      <x:c r="H94" s="10" t="n">
        <x:f>IF(F94=0,"—",E94/F94)</x:f>
        <x:v>0.1206896551724138</x:v>
      </x:c>
      <x:c r="I94" s="8" t="n">
        <x:v>58</x:v>
      </x:c>
      <x:c r="J94" s="8" t="str">
        <x:v>未加权</x:v>
      </x:c>
      <x:c r="K94" s="8" t="str">
        <x:v>synthetic-v1</x:v>
      </x:c>
      <x:c r="L94" s="8" t="str">
        <x:v>满意度与推荐!E34</x:v>
      </x:c>
    </x:row>
    <x:row r="95" ht="29" customHeight="1">
      <x:c r="A95" s="3" t="str">
        <x:v>R0091</x:v>
      </x:c>
      <x:c r="B95" s="3" t="str">
        <x:v>Q7/recommend</x:v>
      </x:c>
      <x:c r="C95" s="3" t="str">
        <x:v>proportion/5分</x:v>
      </x:c>
      <x:c r="D95" s="3" t="str">
        <x:v>总体</x:v>
      </x:c>
      <x:c r="E95" s="3" t="n">
        <x:v>13</x:v>
      </x:c>
      <x:c r="F95" s="3" t="n">
        <x:v>115</x:v>
      </x:c>
      <x:c r="G95" s="3" t="str">
        <x:v>有效人数</x:v>
      </x:c>
      <x:c r="H95" s="9" t="n">
        <x:f>IF(F95=0,"—",E95/F95)</x:f>
        <x:v>0.11304347826086956</x:v>
      </x:c>
      <x:c r="I95" s="3" t="n">
        <x:v>115</x:v>
      </x:c>
      <x:c r="J95" s="3" t="str">
        <x:v>未加权</x:v>
      </x:c>
      <x:c r="K95" s="3" t="str">
        <x:v>synthetic-v1</x:v>
      </x:c>
      <x:c r="L95" s="3" t="str">
        <x:v>满意度与推荐!C35</x:v>
      </x:c>
    </x:row>
    <x:row r="96" ht="29" customHeight="1">
      <x:c r="A96" s="8" t="str">
        <x:v>R0092</x:v>
      </x:c>
      <x:c r="B96" s="8" t="str">
        <x:v>Q7/recommend</x:v>
      </x:c>
      <x:c r="C96" s="8" t="str">
        <x:v>proportion/5分</x:v>
      </x:c>
      <x:c r="D96" s="8" t="str">
        <x:v>养宠家庭</x:v>
      </x:c>
      <x:c r="E96" s="8" t="n">
        <x:v>4</x:v>
      </x:c>
      <x:c r="F96" s="8" t="n">
        <x:v>57</x:v>
      </x:c>
      <x:c r="G96" s="8" t="str">
        <x:v>有效人数</x:v>
      </x:c>
      <x:c r="H96" s="10" t="n">
        <x:f>IF(F96=0,"—",E96/F96)</x:f>
        <x:v>0.07017543859649122</x:v>
      </x:c>
      <x:c r="I96" s="8" t="n">
        <x:v>57</x:v>
      </x:c>
      <x:c r="J96" s="8" t="str">
        <x:v>未加权</x:v>
      </x:c>
      <x:c r="K96" s="8" t="str">
        <x:v>synthetic-v1</x:v>
      </x:c>
      <x:c r="L96" s="8" t="str">
        <x:v>满意度与推荐!D35</x:v>
      </x:c>
    </x:row>
    <x:row r="97" ht="29" customHeight="1">
      <x:c r="A97" s="3" t="str">
        <x:v>R0093</x:v>
      </x:c>
      <x:c r="B97" s="3" t="str">
        <x:v>Q7/recommend</x:v>
      </x:c>
      <x:c r="C97" s="3" t="str">
        <x:v>proportion/5分</x:v>
      </x:c>
      <x:c r="D97" s="3" t="str">
        <x:v>无宠家庭</x:v>
      </x:c>
      <x:c r="E97" s="3" t="n">
        <x:v>9</x:v>
      </x:c>
      <x:c r="F97" s="3" t="n">
        <x:v>58</x:v>
      </x:c>
      <x:c r="G97" s="3" t="str">
        <x:v>有效人数</x:v>
      </x:c>
      <x:c r="H97" s="9" t="n">
        <x:f>IF(F97=0,"—",E97/F97)</x:f>
        <x:v>0.15517241379310345</x:v>
      </x:c>
      <x:c r="I97" s="3" t="n">
        <x:v>58</x:v>
      </x:c>
      <x:c r="J97" s="3" t="str">
        <x:v>未加权</x:v>
      </x:c>
      <x:c r="K97" s="3" t="str">
        <x:v>synthetic-v1</x:v>
      </x:c>
      <x:c r="L97" s="3" t="str">
        <x:v>满意度与推荐!E35</x:v>
      </x:c>
    </x:row>
    <x:row r="98" ht="29" customHeight="1">
      <x:c r="A98" s="8" t="str">
        <x:v>R0094</x:v>
      </x:c>
      <x:c r="B98" s="8" t="str">
        <x:v>Q7/recommend</x:v>
      </x:c>
      <x:c r="C98" s="8" t="str">
        <x:v>proportion/6分</x:v>
      </x:c>
      <x:c r="D98" s="8" t="str">
        <x:v>总体</x:v>
      </x:c>
      <x:c r="E98" s="8" t="n">
        <x:v>11</x:v>
      </x:c>
      <x:c r="F98" s="8" t="n">
        <x:v>115</x:v>
      </x:c>
      <x:c r="G98" s="8" t="str">
        <x:v>有效人数</x:v>
      </x:c>
      <x:c r="H98" s="10" t="n">
        <x:f>IF(F98=0,"—",E98/F98)</x:f>
        <x:v>0.09565217391304348</x:v>
      </x:c>
      <x:c r="I98" s="8" t="n">
        <x:v>115</x:v>
      </x:c>
      <x:c r="J98" s="8" t="str">
        <x:v>未加权</x:v>
      </x:c>
      <x:c r="K98" s="8" t="str">
        <x:v>synthetic-v1</x:v>
      </x:c>
      <x:c r="L98" s="8" t="str">
        <x:v>满意度与推荐!C36</x:v>
      </x:c>
    </x:row>
    <x:row r="99" ht="29" customHeight="1">
      <x:c r="A99" s="3" t="str">
        <x:v>R0095</x:v>
      </x:c>
      <x:c r="B99" s="3" t="str">
        <x:v>Q7/recommend</x:v>
      </x:c>
      <x:c r="C99" s="3" t="str">
        <x:v>proportion/6分</x:v>
      </x:c>
      <x:c r="D99" s="3" t="str">
        <x:v>养宠家庭</x:v>
      </x:c>
      <x:c r="E99" s="3" t="n">
        <x:v>7</x:v>
      </x:c>
      <x:c r="F99" s="3" t="n">
        <x:v>57</x:v>
      </x:c>
      <x:c r="G99" s="3" t="str">
        <x:v>有效人数</x:v>
      </x:c>
      <x:c r="H99" s="9" t="n">
        <x:f>IF(F99=0,"—",E99/F99)</x:f>
        <x:v>0.12280701754385964</x:v>
      </x:c>
      <x:c r="I99" s="3" t="n">
        <x:v>57</x:v>
      </x:c>
      <x:c r="J99" s="3" t="str">
        <x:v>未加权</x:v>
      </x:c>
      <x:c r="K99" s="3" t="str">
        <x:v>synthetic-v1</x:v>
      </x:c>
      <x:c r="L99" s="3" t="str">
        <x:v>满意度与推荐!D36</x:v>
      </x:c>
    </x:row>
    <x:row r="100" ht="29" customHeight="1">
      <x:c r="A100" s="8" t="str">
        <x:v>R0096</x:v>
      </x:c>
      <x:c r="B100" s="8" t="str">
        <x:v>Q7/recommend</x:v>
      </x:c>
      <x:c r="C100" s="8" t="str">
        <x:v>proportion/6分</x:v>
      </x:c>
      <x:c r="D100" s="8" t="str">
        <x:v>无宠家庭</x:v>
      </x:c>
      <x:c r="E100" s="8" t="n">
        <x:v>4</x:v>
      </x:c>
      <x:c r="F100" s="8" t="n">
        <x:v>58</x:v>
      </x:c>
      <x:c r="G100" s="8" t="str">
        <x:v>有效人数</x:v>
      </x:c>
      <x:c r="H100" s="10" t="n">
        <x:f>IF(F100=0,"—",E100/F100)</x:f>
        <x:v>0.06896551724137931</x:v>
      </x:c>
      <x:c r="I100" s="8" t="n">
        <x:v>58</x:v>
      </x:c>
      <x:c r="J100" s="8" t="str">
        <x:v>未加权</x:v>
      </x:c>
      <x:c r="K100" s="8" t="str">
        <x:v>synthetic-v1</x:v>
      </x:c>
      <x:c r="L100" s="8" t="str">
        <x:v>满意度与推荐!E36</x:v>
      </x:c>
    </x:row>
    <x:row r="101" ht="29" customHeight="1">
      <x:c r="A101" s="3" t="str">
        <x:v>R0097</x:v>
      </x:c>
      <x:c r="B101" s="3" t="str">
        <x:v>Q7/recommend</x:v>
      </x:c>
      <x:c r="C101" s="3" t="str">
        <x:v>proportion/7分</x:v>
      </x:c>
      <x:c r="D101" s="3" t="str">
        <x:v>总体</x:v>
      </x:c>
      <x:c r="E101" s="3" t="n">
        <x:v>19</x:v>
      </x:c>
      <x:c r="F101" s="3" t="n">
        <x:v>115</x:v>
      </x:c>
      <x:c r="G101" s="3" t="str">
        <x:v>有效人数</x:v>
      </x:c>
      <x:c r="H101" s="9" t="n">
        <x:f>IF(F101=0,"—",E101/F101)</x:f>
        <x:v>0.16521739130434782</x:v>
      </x:c>
      <x:c r="I101" s="3" t="n">
        <x:v>115</x:v>
      </x:c>
      <x:c r="J101" s="3" t="str">
        <x:v>未加权</x:v>
      </x:c>
      <x:c r="K101" s="3" t="str">
        <x:v>synthetic-v1</x:v>
      </x:c>
      <x:c r="L101" s="3" t="str">
        <x:v>满意度与推荐!C37</x:v>
      </x:c>
    </x:row>
    <x:row r="102" ht="29" customHeight="1">
      <x:c r="A102" s="8" t="str">
        <x:v>R0098</x:v>
      </x:c>
      <x:c r="B102" s="8" t="str">
        <x:v>Q7/recommend</x:v>
      </x:c>
      <x:c r="C102" s="8" t="str">
        <x:v>proportion/7分</x:v>
      </x:c>
      <x:c r="D102" s="8" t="str">
        <x:v>养宠家庭</x:v>
      </x:c>
      <x:c r="E102" s="8" t="n">
        <x:v>10</x:v>
      </x:c>
      <x:c r="F102" s="8" t="n">
        <x:v>57</x:v>
      </x:c>
      <x:c r="G102" s="8" t="str">
        <x:v>有效人数</x:v>
      </x:c>
      <x:c r="H102" s="10" t="n">
        <x:f>IF(F102=0,"—",E102/F102)</x:f>
        <x:v>0.17543859649122806</x:v>
      </x:c>
      <x:c r="I102" s="8" t="n">
        <x:v>57</x:v>
      </x:c>
      <x:c r="J102" s="8" t="str">
        <x:v>未加权</x:v>
      </x:c>
      <x:c r="K102" s="8" t="str">
        <x:v>synthetic-v1</x:v>
      </x:c>
      <x:c r="L102" s="8" t="str">
        <x:v>满意度与推荐!D37</x:v>
      </x:c>
    </x:row>
    <x:row r="103" ht="29" customHeight="1">
      <x:c r="A103" s="3" t="str">
        <x:v>R0099</x:v>
      </x:c>
      <x:c r="B103" s="3" t="str">
        <x:v>Q7/recommend</x:v>
      </x:c>
      <x:c r="C103" s="3" t="str">
        <x:v>proportion/7分</x:v>
      </x:c>
      <x:c r="D103" s="3" t="str">
        <x:v>无宠家庭</x:v>
      </x:c>
      <x:c r="E103" s="3" t="n">
        <x:v>9</x:v>
      </x:c>
      <x:c r="F103" s="3" t="n">
        <x:v>58</x:v>
      </x:c>
      <x:c r="G103" s="3" t="str">
        <x:v>有效人数</x:v>
      </x:c>
      <x:c r="H103" s="9" t="n">
        <x:f>IF(F103=0,"—",E103/F103)</x:f>
        <x:v>0.15517241379310345</x:v>
      </x:c>
      <x:c r="I103" s="3" t="n">
        <x:v>58</x:v>
      </x:c>
      <x:c r="J103" s="3" t="str">
        <x:v>未加权</x:v>
      </x:c>
      <x:c r="K103" s="3" t="str">
        <x:v>synthetic-v1</x:v>
      </x:c>
      <x:c r="L103" s="3" t="str">
        <x:v>满意度与推荐!E37</x:v>
      </x:c>
    </x:row>
    <x:row r="104" ht="29" customHeight="1">
      <x:c r="A104" s="8" t="str">
        <x:v>R0100</x:v>
      </x:c>
      <x:c r="B104" s="8" t="str">
        <x:v>Q7/recommend</x:v>
      </x:c>
      <x:c r="C104" s="8" t="str">
        <x:v>proportion/8分</x:v>
      </x:c>
      <x:c r="D104" s="8" t="str">
        <x:v>总体</x:v>
      </x:c>
      <x:c r="E104" s="8" t="n">
        <x:v>23</x:v>
      </x:c>
      <x:c r="F104" s="8" t="n">
        <x:v>115</x:v>
      </x:c>
      <x:c r="G104" s="8" t="str">
        <x:v>有效人数</x:v>
      </x:c>
      <x:c r="H104" s="10" t="n">
        <x:f>IF(F104=0,"—",E104/F104)</x:f>
        <x:v>0.2</x:v>
      </x:c>
      <x:c r="I104" s="8" t="n">
        <x:v>115</x:v>
      </x:c>
      <x:c r="J104" s="8" t="str">
        <x:v>未加权</x:v>
      </x:c>
      <x:c r="K104" s="8" t="str">
        <x:v>synthetic-v1</x:v>
      </x:c>
      <x:c r="L104" s="8" t="str">
        <x:v>满意度与推荐!C38</x:v>
      </x:c>
    </x:row>
    <x:row r="105" ht="29" customHeight="1">
      <x:c r="A105" s="3" t="str">
        <x:v>R0101</x:v>
      </x:c>
      <x:c r="B105" s="3" t="str">
        <x:v>Q7/recommend</x:v>
      </x:c>
      <x:c r="C105" s="3" t="str">
        <x:v>proportion/8分</x:v>
      </x:c>
      <x:c r="D105" s="3" t="str">
        <x:v>养宠家庭</x:v>
      </x:c>
      <x:c r="E105" s="3" t="n">
        <x:v>14</x:v>
      </x:c>
      <x:c r="F105" s="3" t="n">
        <x:v>57</x:v>
      </x:c>
      <x:c r="G105" s="3" t="str">
        <x:v>有效人数</x:v>
      </x:c>
      <x:c r="H105" s="9" t="n">
        <x:f>IF(F105=0,"—",E105/F105)</x:f>
        <x:v>0.24561403508771928</x:v>
      </x:c>
      <x:c r="I105" s="3" t="n">
        <x:v>57</x:v>
      </x:c>
      <x:c r="J105" s="3" t="str">
        <x:v>未加权</x:v>
      </x:c>
      <x:c r="K105" s="3" t="str">
        <x:v>synthetic-v1</x:v>
      </x:c>
      <x:c r="L105" s="3" t="str">
        <x:v>满意度与推荐!D38</x:v>
      </x:c>
    </x:row>
    <x:row r="106" ht="29" customHeight="1">
      <x:c r="A106" s="8" t="str">
        <x:v>R0102</x:v>
      </x:c>
      <x:c r="B106" s="8" t="str">
        <x:v>Q7/recommend</x:v>
      </x:c>
      <x:c r="C106" s="8" t="str">
        <x:v>proportion/8分</x:v>
      </x:c>
      <x:c r="D106" s="8" t="str">
        <x:v>无宠家庭</x:v>
      </x:c>
      <x:c r="E106" s="8" t="n">
        <x:v>9</x:v>
      </x:c>
      <x:c r="F106" s="8" t="n">
        <x:v>58</x:v>
      </x:c>
      <x:c r="G106" s="8" t="str">
        <x:v>有效人数</x:v>
      </x:c>
      <x:c r="H106" s="10" t="n">
        <x:f>IF(F106=0,"—",E106/F106)</x:f>
        <x:v>0.15517241379310345</x:v>
      </x:c>
      <x:c r="I106" s="8" t="n">
        <x:v>58</x:v>
      </x:c>
      <x:c r="J106" s="8" t="str">
        <x:v>未加权</x:v>
      </x:c>
      <x:c r="K106" s="8" t="str">
        <x:v>synthetic-v1</x:v>
      </x:c>
      <x:c r="L106" s="8" t="str">
        <x:v>满意度与推荐!E38</x:v>
      </x:c>
    </x:row>
    <x:row r="107" ht="29" customHeight="1">
      <x:c r="A107" s="3" t="str">
        <x:v>R0103</x:v>
      </x:c>
      <x:c r="B107" s="3" t="str">
        <x:v>Q7/recommend</x:v>
      </x:c>
      <x:c r="C107" s="3" t="str">
        <x:v>proportion/9分</x:v>
      </x:c>
      <x:c r="D107" s="3" t="str">
        <x:v>总体</x:v>
      </x:c>
      <x:c r="E107" s="3" t="n">
        <x:v>11</x:v>
      </x:c>
      <x:c r="F107" s="3" t="n">
        <x:v>115</x:v>
      </x:c>
      <x:c r="G107" s="3" t="str">
        <x:v>有效人数</x:v>
      </x:c>
      <x:c r="H107" s="9" t="n">
        <x:f>IF(F107=0,"—",E107/F107)</x:f>
        <x:v>0.09565217391304348</x:v>
      </x:c>
      <x:c r="I107" s="3" t="n">
        <x:v>115</x:v>
      </x:c>
      <x:c r="J107" s="3" t="str">
        <x:v>未加权</x:v>
      </x:c>
      <x:c r="K107" s="3" t="str">
        <x:v>synthetic-v1</x:v>
      </x:c>
      <x:c r="L107" s="3" t="str">
        <x:v>满意度与推荐!C39</x:v>
      </x:c>
    </x:row>
    <x:row r="108" ht="29" customHeight="1">
      <x:c r="A108" s="8" t="str">
        <x:v>R0104</x:v>
      </x:c>
      <x:c r="B108" s="8" t="str">
        <x:v>Q7/recommend</x:v>
      </x:c>
      <x:c r="C108" s="8" t="str">
        <x:v>proportion/9分</x:v>
      </x:c>
      <x:c r="D108" s="8" t="str">
        <x:v>养宠家庭</x:v>
      </x:c>
      <x:c r="E108" s="8" t="n">
        <x:v>4</x:v>
      </x:c>
      <x:c r="F108" s="8" t="n">
        <x:v>57</x:v>
      </x:c>
      <x:c r="G108" s="8" t="str">
        <x:v>有效人数</x:v>
      </x:c>
      <x:c r="H108" s="10" t="n">
        <x:f>IF(F108=0,"—",E108/F108)</x:f>
        <x:v>0.07017543859649122</x:v>
      </x:c>
      <x:c r="I108" s="8" t="n">
        <x:v>57</x:v>
      </x:c>
      <x:c r="J108" s="8" t="str">
        <x:v>未加权</x:v>
      </x:c>
      <x:c r="K108" s="8" t="str">
        <x:v>synthetic-v1</x:v>
      </x:c>
      <x:c r="L108" s="8" t="str">
        <x:v>满意度与推荐!D39</x:v>
      </x:c>
    </x:row>
    <x:row r="109" ht="29" customHeight="1">
      <x:c r="A109" s="3" t="str">
        <x:v>R0105</x:v>
      </x:c>
      <x:c r="B109" s="3" t="str">
        <x:v>Q7/recommend</x:v>
      </x:c>
      <x:c r="C109" s="3" t="str">
        <x:v>proportion/9分</x:v>
      </x:c>
      <x:c r="D109" s="3" t="str">
        <x:v>无宠家庭</x:v>
      </x:c>
      <x:c r="E109" s="3" t="n">
        <x:v>7</x:v>
      </x:c>
      <x:c r="F109" s="3" t="n">
        <x:v>58</x:v>
      </x:c>
      <x:c r="G109" s="3" t="str">
        <x:v>有效人数</x:v>
      </x:c>
      <x:c r="H109" s="9" t="n">
        <x:f>IF(F109=0,"—",E109/F109)</x:f>
        <x:v>0.1206896551724138</x:v>
      </x:c>
      <x:c r="I109" s="3" t="n">
        <x:v>58</x:v>
      </x:c>
      <x:c r="J109" s="3" t="str">
        <x:v>未加权</x:v>
      </x:c>
      <x:c r="K109" s="3" t="str">
        <x:v>synthetic-v1</x:v>
      </x:c>
      <x:c r="L109" s="3" t="str">
        <x:v>满意度与推荐!E39</x:v>
      </x:c>
    </x:row>
    <x:row r="110" ht="29" customHeight="1">
      <x:c r="A110" s="8" t="str">
        <x:v>R0106</x:v>
      </x:c>
      <x:c r="B110" s="8" t="str">
        <x:v>Q7/recommend</x:v>
      </x:c>
      <x:c r="C110" s="8" t="str">
        <x:v>proportion/10分</x:v>
      </x:c>
      <x:c r="D110" s="8" t="str">
        <x:v>总体</x:v>
      </x:c>
      <x:c r="E110" s="8" t="n">
        <x:v>7</x:v>
      </x:c>
      <x:c r="F110" s="8" t="n">
        <x:v>115</x:v>
      </x:c>
      <x:c r="G110" s="8" t="str">
        <x:v>有效人数</x:v>
      </x:c>
      <x:c r="H110" s="10" t="n">
        <x:f>IF(F110=0,"—",E110/F110)</x:f>
        <x:v>0.06086956521739131</x:v>
      </x:c>
      <x:c r="I110" s="8" t="n">
        <x:v>115</x:v>
      </x:c>
      <x:c r="J110" s="8" t="str">
        <x:v>未加权</x:v>
      </x:c>
      <x:c r="K110" s="8" t="str">
        <x:v>synthetic-v1</x:v>
      </x:c>
      <x:c r="L110" s="8" t="str">
        <x:v>满意度与推荐!C40</x:v>
      </x:c>
    </x:row>
    <x:row r="111" ht="29" customHeight="1">
      <x:c r="A111" s="3" t="str">
        <x:v>R0107</x:v>
      </x:c>
      <x:c r="B111" s="3" t="str">
        <x:v>Q7/recommend</x:v>
      </x:c>
      <x:c r="C111" s="3" t="str">
        <x:v>proportion/10分</x:v>
      </x:c>
      <x:c r="D111" s="3" t="str">
        <x:v>养宠家庭</x:v>
      </x:c>
      <x:c r="E111" s="3" t="n">
        <x:v>3</x:v>
      </x:c>
      <x:c r="F111" s="3" t="n">
        <x:v>57</x:v>
      </x:c>
      <x:c r="G111" s="3" t="str">
        <x:v>有效人数</x:v>
      </x:c>
      <x:c r="H111" s="9" t="n">
        <x:f>IF(F111=0,"—",E111/F111)</x:f>
        <x:v>0.05263157894736842</x:v>
      </x:c>
      <x:c r="I111" s="3" t="n">
        <x:v>57</x:v>
      </x:c>
      <x:c r="J111" s="3" t="str">
        <x:v>未加权</x:v>
      </x:c>
      <x:c r="K111" s="3" t="str">
        <x:v>synthetic-v1</x:v>
      </x:c>
      <x:c r="L111" s="3" t="str">
        <x:v>满意度与推荐!D40</x:v>
      </x:c>
    </x:row>
    <x:row r="112" ht="29" customHeight="1">
      <x:c r="A112" s="8" t="str">
        <x:v>R0108</x:v>
      </x:c>
      <x:c r="B112" s="8" t="str">
        <x:v>Q7/recommend</x:v>
      </x:c>
      <x:c r="C112" s="8" t="str">
        <x:v>proportion/10分</x:v>
      </x:c>
      <x:c r="D112" s="8" t="str">
        <x:v>无宠家庭</x:v>
      </x:c>
      <x:c r="E112" s="8" t="n">
        <x:v>4</x:v>
      </x:c>
      <x:c r="F112" s="8" t="n">
        <x:v>58</x:v>
      </x:c>
      <x:c r="G112" s="8" t="str">
        <x:v>有效人数</x:v>
      </x:c>
      <x:c r="H112" s="10" t="n">
        <x:f>IF(F112=0,"—",E112/F112)</x:f>
        <x:v>0.06896551724137931</x:v>
      </x:c>
      <x:c r="I112" s="8" t="n">
        <x:v>58</x:v>
      </x:c>
      <x:c r="J112" s="8" t="str">
        <x:v>未加权</x:v>
      </x:c>
      <x:c r="K112" s="8" t="str">
        <x:v>synthetic-v1</x:v>
      </x:c>
      <x:c r="L112" s="8" t="str">
        <x:v>满意度与推荐!E40</x:v>
      </x:c>
    </x:row>
    <x:row r="113" ht="29" customHeight="1">
      <x:c r="A113" s="3" t="str">
        <x:v>R0109</x:v>
      </x:c>
      <x:c r="B113" s="3" t="str">
        <x:v>Q7/recommend</x:v>
      </x:c>
      <x:c r="C113" s="3" t="str">
        <x:v>nps/NPS</x:v>
      </x:c>
      <x:c r="D113" s="3" t="str">
        <x:v>总体</x:v>
      </x:c>
      <x:c r="E113" s="3" t="n">
        <x:v>-37</x:v>
      </x:c>
      <x:c r="F113" s="3" t="n">
        <x:v>115</x:v>
      </x:c>
      <x:c r="G113" s="3" t="str">
        <x:v>有效人数</x:v>
      </x:c>
      <x:c r="H113" s="20" t="n">
        <x:f>IF(F113=0,"—",E113/F113*100)</x:f>
        <x:v>-32.17391304347826</x:v>
      </x:c>
      <x:c r="I113" s="3" t="n">
        <x:v>115</x:v>
      </x:c>
      <x:c r="J113" s="3" t="str">
        <x:v>未加权</x:v>
      </x:c>
      <x:c r="K113" s="3" t="str">
        <x:v>synthetic-v1</x:v>
      </x:c>
      <x:c r="L113" s="3" t="str">
        <x:v>满意度与推荐!C41</x:v>
      </x:c>
    </x:row>
    <x:row r="114" ht="29" customHeight="1">
      <x:c r="A114" s="8" t="str">
        <x:v>R0110</x:v>
      </x:c>
      <x:c r="B114" s="8" t="str">
        <x:v>Q7/recommend</x:v>
      </x:c>
      <x:c r="C114" s="8" t="str">
        <x:v>nps/NPS</x:v>
      </x:c>
      <x:c r="D114" s="8" t="str">
        <x:v>养宠家庭</x:v>
      </x:c>
      <x:c r="E114" s="8" t="n">
        <x:v>-19</x:v>
      </x:c>
      <x:c r="F114" s="8" t="n">
        <x:v>57</x:v>
      </x:c>
      <x:c r="G114" s="8" t="str">
        <x:v>有效人数</x:v>
      </x:c>
      <x:c r="H114" s="22" t="n">
        <x:f>IF(F114=0,"—",E114/F114*100)</x:f>
        <x:v>-33.33333333333333</x:v>
      </x:c>
      <x:c r="I114" s="8" t="n">
        <x:v>57</x:v>
      </x:c>
      <x:c r="J114" s="8" t="str">
        <x:v>未加权</x:v>
      </x:c>
      <x:c r="K114" s="8" t="str">
        <x:v>synthetic-v1</x:v>
      </x:c>
      <x:c r="L114" s="8" t="str">
        <x:v>满意度与推荐!D41</x:v>
      </x:c>
    </x:row>
    <x:row r="115" ht="29" customHeight="1">
      <x:c r="A115" s="3" t="str">
        <x:v>R0111</x:v>
      </x:c>
      <x:c r="B115" s="3" t="str">
        <x:v>Q7/recommend</x:v>
      </x:c>
      <x:c r="C115" s="3" t="str">
        <x:v>nps/NPS</x:v>
      </x:c>
      <x:c r="D115" s="3" t="str">
        <x:v>无宠家庭</x:v>
      </x:c>
      <x:c r="E115" s="3" t="n">
        <x:v>-18</x:v>
      </x:c>
      <x:c r="F115" s="3" t="n">
        <x:v>58</x:v>
      </x:c>
      <x:c r="G115" s="3" t="str">
        <x:v>有效人数</x:v>
      </x:c>
      <x:c r="H115" s="20" t="n">
        <x:f>IF(F115=0,"—",E115/F115*100)</x:f>
        <x:v>-31.03448275862069</x:v>
      </x:c>
      <x:c r="I115" s="3" t="n">
        <x:v>58</x:v>
      </x:c>
      <x:c r="J115" s="3" t="str">
        <x:v>未加权</x:v>
      </x:c>
      <x:c r="K115" s="3" t="str">
        <x:v>synthetic-v1</x:v>
      </x:c>
      <x:c r="L115" s="3" t="str">
        <x:v>满意度与推荐!E41</x:v>
      </x:c>
    </x:row>
    <x:row r="116" ht="29" customHeight="1">
      <x:c r="A116" s="8" t="str">
        <x:v>R0112</x:v>
      </x:c>
      <x:c r="B116" s="8" t="str">
        <x:v>Q8/before</x:v>
      </x:c>
      <x:c r="C116" s="8" t="str">
        <x:v>proportion/1分</x:v>
      </x:c>
      <x:c r="D116" s="8" t="str">
        <x:v>总体</x:v>
      </x:c>
      <x:c r="E116" s="8" t="n">
        <x:v>16</x:v>
      </x:c>
      <x:c r="F116" s="8" t="n">
        <x:v>120</x:v>
      </x:c>
      <x:c r="G116" s="8" t="str">
        <x:v>有效人数</x:v>
      </x:c>
      <x:c r="H116" s="10" t="n">
        <x:f>IF(F116=0,"—",E116/F116)</x:f>
        <x:v>0.13333333333333333</x:v>
      </x:c>
      <x:c r="I116" s="8" t="n">
        <x:v>120</x:v>
      </x:c>
      <x:c r="J116" s="8" t="str">
        <x:v>未加权</x:v>
      </x:c>
      <x:c r="K116" s="8" t="str">
        <x:v>synthetic-v1</x:v>
      </x:c>
      <x:c r="L116" s="8" t="str">
        <x:v>满意度与推荐!C45</x:v>
      </x:c>
    </x:row>
    <x:row r="117" ht="29" customHeight="1">
      <x:c r="A117" s="3" t="str">
        <x:v>R0113</x:v>
      </x:c>
      <x:c r="B117" s="3" t="str">
        <x:v>Q8/before</x:v>
      </x:c>
      <x:c r="C117" s="3" t="str">
        <x:v>proportion/1分</x:v>
      </x:c>
      <x:c r="D117" s="3" t="str">
        <x:v>养宠家庭</x:v>
      </x:c>
      <x:c r="E117" s="3" t="n">
        <x:v>9</x:v>
      </x:c>
      <x:c r="F117" s="3" t="n">
        <x:v>60</x:v>
      </x:c>
      <x:c r="G117" s="3" t="str">
        <x:v>有效人数</x:v>
      </x:c>
      <x:c r="H117" s="9" t="n">
        <x:f>IF(F117=0,"—",E117/F117)</x:f>
        <x:v>0.15</x:v>
      </x:c>
      <x:c r="I117" s="3" t="n">
        <x:v>60</x:v>
      </x:c>
      <x:c r="J117" s="3" t="str">
        <x:v>未加权</x:v>
      </x:c>
      <x:c r="K117" s="3" t="str">
        <x:v>synthetic-v1</x:v>
      </x:c>
      <x:c r="L117" s="3" t="str">
        <x:v>满意度与推荐!D45</x:v>
      </x:c>
    </x:row>
    <x:row r="118" ht="29" customHeight="1">
      <x:c r="A118" s="8" t="str">
        <x:v>R0114</x:v>
      </x:c>
      <x:c r="B118" s="8" t="str">
        <x:v>Q8/before</x:v>
      </x:c>
      <x:c r="C118" s="8" t="str">
        <x:v>proportion/1分</x:v>
      </x:c>
      <x:c r="D118" s="8" t="str">
        <x:v>无宠家庭</x:v>
      </x:c>
      <x:c r="E118" s="8" t="n">
        <x:v>7</x:v>
      </x:c>
      <x:c r="F118" s="8" t="n">
        <x:v>60</x:v>
      </x:c>
      <x:c r="G118" s="8" t="str">
        <x:v>有效人数</x:v>
      </x:c>
      <x:c r="H118" s="10" t="n">
        <x:f>IF(F118=0,"—",E118/F118)</x:f>
        <x:v>0.11666666666666667</x:v>
      </x:c>
      <x:c r="I118" s="8" t="n">
        <x:v>60</x:v>
      </x:c>
      <x:c r="J118" s="8" t="str">
        <x:v>未加权</x:v>
      </x:c>
      <x:c r="K118" s="8" t="str">
        <x:v>synthetic-v1</x:v>
      </x:c>
      <x:c r="L118" s="8" t="str">
        <x:v>满意度与推荐!E45</x:v>
      </x:c>
    </x:row>
    <x:row r="119" ht="29" customHeight="1">
      <x:c r="A119" s="3" t="str">
        <x:v>R0115</x:v>
      </x:c>
      <x:c r="B119" s="3" t="str">
        <x:v>Q8/before</x:v>
      </x:c>
      <x:c r="C119" s="3" t="str">
        <x:v>proportion/2分</x:v>
      </x:c>
      <x:c r="D119" s="3" t="str">
        <x:v>总体</x:v>
      </x:c>
      <x:c r="E119" s="3" t="n">
        <x:v>26</x:v>
      </x:c>
      <x:c r="F119" s="3" t="n">
        <x:v>120</x:v>
      </x:c>
      <x:c r="G119" s="3" t="str">
        <x:v>有效人数</x:v>
      </x:c>
      <x:c r="H119" s="9" t="n">
        <x:f>IF(F119=0,"—",E119/F119)</x:f>
        <x:v>0.21666666666666667</x:v>
      </x:c>
      <x:c r="I119" s="3" t="n">
        <x:v>120</x:v>
      </x:c>
      <x:c r="J119" s="3" t="str">
        <x:v>未加权</x:v>
      </x:c>
      <x:c r="K119" s="3" t="str">
        <x:v>synthetic-v1</x:v>
      </x:c>
      <x:c r="L119" s="3" t="str">
        <x:v>满意度与推荐!C46</x:v>
      </x:c>
    </x:row>
    <x:row r="120" ht="29" customHeight="1">
      <x:c r="A120" s="8" t="str">
        <x:v>R0116</x:v>
      </x:c>
      <x:c r="B120" s="8" t="str">
        <x:v>Q8/before</x:v>
      </x:c>
      <x:c r="C120" s="8" t="str">
        <x:v>proportion/2分</x:v>
      </x:c>
      <x:c r="D120" s="8" t="str">
        <x:v>养宠家庭</x:v>
      </x:c>
      <x:c r="E120" s="8" t="n">
        <x:v>14</x:v>
      </x:c>
      <x:c r="F120" s="8" t="n">
        <x:v>60</x:v>
      </x:c>
      <x:c r="G120" s="8" t="str">
        <x:v>有效人数</x:v>
      </x:c>
      <x:c r="H120" s="10" t="n">
        <x:f>IF(F120=0,"—",E120/F120)</x:f>
        <x:v>0.23333333333333334</x:v>
      </x:c>
      <x:c r="I120" s="8" t="n">
        <x:v>60</x:v>
      </x:c>
      <x:c r="J120" s="8" t="str">
        <x:v>未加权</x:v>
      </x:c>
      <x:c r="K120" s="8" t="str">
        <x:v>synthetic-v1</x:v>
      </x:c>
      <x:c r="L120" s="8" t="str">
        <x:v>满意度与推荐!D46</x:v>
      </x:c>
    </x:row>
    <x:row r="121" ht="29" customHeight="1">
      <x:c r="A121" s="3" t="str">
        <x:v>R0117</x:v>
      </x:c>
      <x:c r="B121" s="3" t="str">
        <x:v>Q8/before</x:v>
      </x:c>
      <x:c r="C121" s="3" t="str">
        <x:v>proportion/2分</x:v>
      </x:c>
      <x:c r="D121" s="3" t="str">
        <x:v>无宠家庭</x:v>
      </x:c>
      <x:c r="E121" s="3" t="n">
        <x:v>12</x:v>
      </x:c>
      <x:c r="F121" s="3" t="n">
        <x:v>60</x:v>
      </x:c>
      <x:c r="G121" s="3" t="str">
        <x:v>有效人数</x:v>
      </x:c>
      <x:c r="H121" s="9" t="n">
        <x:f>IF(F121=0,"—",E121/F121)</x:f>
        <x:v>0.2</x:v>
      </x:c>
      <x:c r="I121" s="3" t="n">
        <x:v>60</x:v>
      </x:c>
      <x:c r="J121" s="3" t="str">
        <x:v>未加权</x:v>
      </x:c>
      <x:c r="K121" s="3" t="str">
        <x:v>synthetic-v1</x:v>
      </x:c>
      <x:c r="L121" s="3" t="str">
        <x:v>满意度与推荐!E46</x:v>
      </x:c>
    </x:row>
    <x:row r="122" ht="29" customHeight="1">
      <x:c r="A122" s="8" t="str">
        <x:v>R0118</x:v>
      </x:c>
      <x:c r="B122" s="8" t="str">
        <x:v>Q8/before</x:v>
      </x:c>
      <x:c r="C122" s="8" t="str">
        <x:v>proportion/3分</x:v>
      </x:c>
      <x:c r="D122" s="8" t="str">
        <x:v>总体</x:v>
      </x:c>
      <x:c r="E122" s="8" t="n">
        <x:v>45</x:v>
      </x:c>
      <x:c r="F122" s="8" t="n">
        <x:v>120</x:v>
      </x:c>
      <x:c r="G122" s="8" t="str">
        <x:v>有效人数</x:v>
      </x:c>
      <x:c r="H122" s="10" t="n">
        <x:f>IF(F122=0,"—",E122/F122)</x:f>
        <x:v>0.375</x:v>
      </x:c>
      <x:c r="I122" s="8" t="n">
        <x:v>120</x:v>
      </x:c>
      <x:c r="J122" s="8" t="str">
        <x:v>未加权</x:v>
      </x:c>
      <x:c r="K122" s="8" t="str">
        <x:v>synthetic-v1</x:v>
      </x:c>
      <x:c r="L122" s="8" t="str">
        <x:v>满意度与推荐!C47</x:v>
      </x:c>
    </x:row>
    <x:row r="123" ht="29" customHeight="1">
      <x:c r="A123" s="3" t="str">
        <x:v>R0119</x:v>
      </x:c>
      <x:c r="B123" s="3" t="str">
        <x:v>Q8/before</x:v>
      </x:c>
      <x:c r="C123" s="3" t="str">
        <x:v>proportion/3分</x:v>
      </x:c>
      <x:c r="D123" s="3" t="str">
        <x:v>养宠家庭</x:v>
      </x:c>
      <x:c r="E123" s="3" t="n">
        <x:v>19</x:v>
      </x:c>
      <x:c r="F123" s="3" t="n">
        <x:v>60</x:v>
      </x:c>
      <x:c r="G123" s="3" t="str">
        <x:v>有效人数</x:v>
      </x:c>
      <x:c r="H123" s="9" t="n">
        <x:f>IF(F123=0,"—",E123/F123)</x:f>
        <x:v>0.31666666666666665</x:v>
      </x:c>
      <x:c r="I123" s="3" t="n">
        <x:v>60</x:v>
      </x:c>
      <x:c r="J123" s="3" t="str">
        <x:v>未加权</x:v>
      </x:c>
      <x:c r="K123" s="3" t="str">
        <x:v>synthetic-v1</x:v>
      </x:c>
      <x:c r="L123" s="3" t="str">
        <x:v>满意度与推荐!D47</x:v>
      </x:c>
    </x:row>
    <x:row r="124" ht="29" customHeight="1">
      <x:c r="A124" s="8" t="str">
        <x:v>R0120</x:v>
      </x:c>
      <x:c r="B124" s="8" t="str">
        <x:v>Q8/before</x:v>
      </x:c>
      <x:c r="C124" s="8" t="str">
        <x:v>proportion/3分</x:v>
      </x:c>
      <x:c r="D124" s="8" t="str">
        <x:v>无宠家庭</x:v>
      </x:c>
      <x:c r="E124" s="8" t="n">
        <x:v>26</x:v>
      </x:c>
      <x:c r="F124" s="8" t="n">
        <x:v>60</x:v>
      </x:c>
      <x:c r="G124" s="8" t="str">
        <x:v>有效人数</x:v>
      </x:c>
      <x:c r="H124" s="10" t="n">
        <x:f>IF(F124=0,"—",E124/F124)</x:f>
        <x:v>0.43333333333333335</x:v>
      </x:c>
      <x:c r="I124" s="8" t="n">
        <x:v>60</x:v>
      </x:c>
      <x:c r="J124" s="8" t="str">
        <x:v>未加权</x:v>
      </x:c>
      <x:c r="K124" s="8" t="str">
        <x:v>synthetic-v1</x:v>
      </x:c>
      <x:c r="L124" s="8" t="str">
        <x:v>满意度与推荐!E47</x:v>
      </x:c>
    </x:row>
    <x:row r="125" ht="29" customHeight="1">
      <x:c r="A125" s="3" t="str">
        <x:v>R0121</x:v>
      </x:c>
      <x:c r="B125" s="3" t="str">
        <x:v>Q8/before</x:v>
      </x:c>
      <x:c r="C125" s="3" t="str">
        <x:v>proportion/4分</x:v>
      </x:c>
      <x:c r="D125" s="3" t="str">
        <x:v>总体</x:v>
      </x:c>
      <x:c r="E125" s="3" t="n">
        <x:v>23</x:v>
      </x:c>
      <x:c r="F125" s="3" t="n">
        <x:v>120</x:v>
      </x:c>
      <x:c r="G125" s="3" t="str">
        <x:v>有效人数</x:v>
      </x:c>
      <x:c r="H125" s="9" t="n">
        <x:f>IF(F125=0,"—",E125/F125)</x:f>
        <x:v>0.19166666666666668</x:v>
      </x:c>
      <x:c r="I125" s="3" t="n">
        <x:v>120</x:v>
      </x:c>
      <x:c r="J125" s="3" t="str">
        <x:v>未加权</x:v>
      </x:c>
      <x:c r="K125" s="3" t="str">
        <x:v>synthetic-v1</x:v>
      </x:c>
      <x:c r="L125" s="3" t="str">
        <x:v>满意度与推荐!C48</x:v>
      </x:c>
    </x:row>
    <x:row r="126" ht="29" customHeight="1">
      <x:c r="A126" s="8" t="str">
        <x:v>R0122</x:v>
      </x:c>
      <x:c r="B126" s="8" t="str">
        <x:v>Q8/before</x:v>
      </x:c>
      <x:c r="C126" s="8" t="str">
        <x:v>proportion/4分</x:v>
      </x:c>
      <x:c r="D126" s="8" t="str">
        <x:v>养宠家庭</x:v>
      </x:c>
      <x:c r="E126" s="8" t="n">
        <x:v>12</x:v>
      </x:c>
      <x:c r="F126" s="8" t="n">
        <x:v>60</x:v>
      </x:c>
      <x:c r="G126" s="8" t="str">
        <x:v>有效人数</x:v>
      </x:c>
      <x:c r="H126" s="10" t="n">
        <x:f>IF(F126=0,"—",E126/F126)</x:f>
        <x:v>0.2</x:v>
      </x:c>
      <x:c r="I126" s="8" t="n">
        <x:v>60</x:v>
      </x:c>
      <x:c r="J126" s="8" t="str">
        <x:v>未加权</x:v>
      </x:c>
      <x:c r="K126" s="8" t="str">
        <x:v>synthetic-v1</x:v>
      </x:c>
      <x:c r="L126" s="8" t="str">
        <x:v>满意度与推荐!D48</x:v>
      </x:c>
    </x:row>
    <x:row r="127" ht="29" customHeight="1">
      <x:c r="A127" s="3" t="str">
        <x:v>R0123</x:v>
      </x:c>
      <x:c r="B127" s="3" t="str">
        <x:v>Q8/before</x:v>
      </x:c>
      <x:c r="C127" s="3" t="str">
        <x:v>proportion/4分</x:v>
      </x:c>
      <x:c r="D127" s="3" t="str">
        <x:v>无宠家庭</x:v>
      </x:c>
      <x:c r="E127" s="3" t="n">
        <x:v>11</x:v>
      </x:c>
      <x:c r="F127" s="3" t="n">
        <x:v>60</x:v>
      </x:c>
      <x:c r="G127" s="3" t="str">
        <x:v>有效人数</x:v>
      </x:c>
      <x:c r="H127" s="9" t="n">
        <x:f>IF(F127=0,"—",E127/F127)</x:f>
        <x:v>0.18333333333333332</x:v>
      </x:c>
      <x:c r="I127" s="3" t="n">
        <x:v>60</x:v>
      </x:c>
      <x:c r="J127" s="3" t="str">
        <x:v>未加权</x:v>
      </x:c>
      <x:c r="K127" s="3" t="str">
        <x:v>synthetic-v1</x:v>
      </x:c>
      <x:c r="L127" s="3" t="str">
        <x:v>满意度与推荐!E48</x:v>
      </x:c>
    </x:row>
    <x:row r="128" ht="29" customHeight="1">
      <x:c r="A128" s="8" t="str">
        <x:v>R0124</x:v>
      </x:c>
      <x:c r="B128" s="8" t="str">
        <x:v>Q8/before</x:v>
      </x:c>
      <x:c r="C128" s="8" t="str">
        <x:v>proportion/5分</x:v>
      </x:c>
      <x:c r="D128" s="8" t="str">
        <x:v>总体</x:v>
      </x:c>
      <x:c r="E128" s="8" t="n">
        <x:v>10</x:v>
      </x:c>
      <x:c r="F128" s="8" t="n">
        <x:v>120</x:v>
      </x:c>
      <x:c r="G128" s="8" t="str">
        <x:v>有效人数</x:v>
      </x:c>
      <x:c r="H128" s="10" t="n">
        <x:f>IF(F128=0,"—",E128/F128)</x:f>
        <x:v>0.08333333333333333</x:v>
      </x:c>
      <x:c r="I128" s="8" t="n">
        <x:v>120</x:v>
      </x:c>
      <x:c r="J128" s="8" t="str">
        <x:v>未加权</x:v>
      </x:c>
      <x:c r="K128" s="8" t="str">
        <x:v>synthetic-v1</x:v>
      </x:c>
      <x:c r="L128" s="8" t="str">
        <x:v>满意度与推荐!C49</x:v>
      </x:c>
    </x:row>
    <x:row r="129" ht="29" customHeight="1">
      <x:c r="A129" s="3" t="str">
        <x:v>R0125</x:v>
      </x:c>
      <x:c r="B129" s="3" t="str">
        <x:v>Q8/before</x:v>
      </x:c>
      <x:c r="C129" s="3" t="str">
        <x:v>proportion/5分</x:v>
      </x:c>
      <x:c r="D129" s="3" t="str">
        <x:v>养宠家庭</x:v>
      </x:c>
      <x:c r="E129" s="3" t="n">
        <x:v>6</x:v>
      </x:c>
      <x:c r="F129" s="3" t="n">
        <x:v>60</x:v>
      </x:c>
      <x:c r="G129" s="3" t="str">
        <x:v>有效人数</x:v>
      </x:c>
      <x:c r="H129" s="9" t="n">
        <x:f>IF(F129=0,"—",E129/F129)</x:f>
        <x:v>0.1</x:v>
      </x:c>
      <x:c r="I129" s="3" t="n">
        <x:v>60</x:v>
      </x:c>
      <x:c r="J129" s="3" t="str">
        <x:v>未加权</x:v>
      </x:c>
      <x:c r="K129" s="3" t="str">
        <x:v>synthetic-v1</x:v>
      </x:c>
      <x:c r="L129" s="3" t="str">
        <x:v>满意度与推荐!D49</x:v>
      </x:c>
    </x:row>
    <x:row r="130" ht="29" customHeight="1">
      <x:c r="A130" s="8" t="str">
        <x:v>R0126</x:v>
      </x:c>
      <x:c r="B130" s="8" t="str">
        <x:v>Q8/before</x:v>
      </x:c>
      <x:c r="C130" s="8" t="str">
        <x:v>proportion/5分</x:v>
      </x:c>
      <x:c r="D130" s="8" t="str">
        <x:v>无宠家庭</x:v>
      </x:c>
      <x:c r="E130" s="8" t="n">
        <x:v>4</x:v>
      </x:c>
      <x:c r="F130" s="8" t="n">
        <x:v>60</x:v>
      </x:c>
      <x:c r="G130" s="8" t="str">
        <x:v>有效人数</x:v>
      </x:c>
      <x:c r="H130" s="10" t="n">
        <x:f>IF(F130=0,"—",E130/F130)</x:f>
        <x:v>0.06666666666666667</x:v>
      </x:c>
      <x:c r="I130" s="8" t="n">
        <x:v>60</x:v>
      </x:c>
      <x:c r="J130" s="8" t="str">
        <x:v>未加权</x:v>
      </x:c>
      <x:c r="K130" s="8" t="str">
        <x:v>synthetic-v1</x:v>
      </x:c>
      <x:c r="L130" s="8" t="str">
        <x:v>满意度与推荐!E49</x:v>
      </x:c>
    </x:row>
    <x:row r="131" ht="29" customHeight="1">
      <x:c r="A131" s="3" t="str">
        <x:v>R0127</x:v>
      </x:c>
      <x:c r="B131" s="3" t="str">
        <x:v>Q8/before</x:v>
      </x:c>
      <x:c r="C131" s="3" t="str">
        <x:v>top2/TOP2</x:v>
      </x:c>
      <x:c r="D131" s="3" t="str">
        <x:v>总体</x:v>
      </x:c>
      <x:c r="E131" s="3" t="n">
        <x:v>33</x:v>
      </x:c>
      <x:c r="F131" s="3" t="n">
        <x:v>120</x:v>
      </x:c>
      <x:c r="G131" s="3" t="str">
        <x:v>有效人数</x:v>
      </x:c>
      <x:c r="H131" s="9" t="n">
        <x:f>IF(F131=0,"—",E131/F131)</x:f>
        <x:v>0.275</x:v>
      </x:c>
      <x:c r="I131" s="3" t="n">
        <x:v>120</x:v>
      </x:c>
      <x:c r="J131" s="3" t="str">
        <x:v>未加权</x:v>
      </x:c>
      <x:c r="K131" s="3" t="str">
        <x:v>synthetic-v1</x:v>
      </x:c>
      <x:c r="L131" s="3" t="str">
        <x:v>满意度与推荐!C50</x:v>
      </x:c>
    </x:row>
    <x:row r="132" ht="29" customHeight="1">
      <x:c r="A132" s="8" t="str">
        <x:v>R0128</x:v>
      </x:c>
      <x:c r="B132" s="8" t="str">
        <x:v>Q8/before</x:v>
      </x:c>
      <x:c r="C132" s="8" t="str">
        <x:v>top2/TOP2</x:v>
      </x:c>
      <x:c r="D132" s="8" t="str">
        <x:v>养宠家庭</x:v>
      </x:c>
      <x:c r="E132" s="8" t="n">
        <x:v>18</x:v>
      </x:c>
      <x:c r="F132" s="8" t="n">
        <x:v>60</x:v>
      </x:c>
      <x:c r="G132" s="8" t="str">
        <x:v>有效人数</x:v>
      </x:c>
      <x:c r="H132" s="10" t="n">
        <x:f>IF(F132=0,"—",E132/F132)</x:f>
        <x:v>0.3</x:v>
      </x:c>
      <x:c r="I132" s="8" t="n">
        <x:v>60</x:v>
      </x:c>
      <x:c r="J132" s="8" t="str">
        <x:v>未加权</x:v>
      </x:c>
      <x:c r="K132" s="8" t="str">
        <x:v>synthetic-v1</x:v>
      </x:c>
      <x:c r="L132" s="8" t="str">
        <x:v>满意度与推荐!D50</x:v>
      </x:c>
    </x:row>
    <x:row r="133" ht="29" customHeight="1">
      <x:c r="A133" s="3" t="str">
        <x:v>R0129</x:v>
      </x:c>
      <x:c r="B133" s="3" t="str">
        <x:v>Q8/before</x:v>
      </x:c>
      <x:c r="C133" s="3" t="str">
        <x:v>top2/TOP2</x:v>
      </x:c>
      <x:c r="D133" s="3" t="str">
        <x:v>无宠家庭</x:v>
      </x:c>
      <x:c r="E133" s="3" t="n">
        <x:v>15</x:v>
      </x:c>
      <x:c r="F133" s="3" t="n">
        <x:v>60</x:v>
      </x:c>
      <x:c r="G133" s="3" t="str">
        <x:v>有效人数</x:v>
      </x:c>
      <x:c r="H133" s="9" t="n">
        <x:f>IF(F133=0,"—",E133/F133)</x:f>
        <x:v>0.25</x:v>
      </x:c>
      <x:c r="I133" s="3" t="n">
        <x:v>60</x:v>
      </x:c>
      <x:c r="J133" s="3" t="str">
        <x:v>未加权</x:v>
      </x:c>
      <x:c r="K133" s="3" t="str">
        <x:v>synthetic-v1</x:v>
      </x:c>
      <x:c r="L133" s="3" t="str">
        <x:v>满意度与推荐!E50</x:v>
      </x:c>
    </x:row>
    <x:row r="134" ht="29" customHeight="1">
      <x:c r="A134" s="8" t="str">
        <x:v>R0130</x:v>
      </x:c>
      <x:c r="B134" s="8" t="str">
        <x:v>Q8/before</x:v>
      </x:c>
      <x:c r="C134" s="8" t="str">
        <x:v>mean/均值</x:v>
      </x:c>
      <x:c r="D134" s="8" t="str">
        <x:v>总体</x:v>
      </x:c>
      <x:c r="E134" s="8" t="n">
        <x:v>345</x:v>
      </x:c>
      <x:c r="F134" s="8" t="n">
        <x:v>120</x:v>
      </x:c>
      <x:c r="G134" s="8" t="str">
        <x:v>有效人数</x:v>
      </x:c>
      <x:c r="H134" s="19" t="n">
        <x:f>IF(F134=0,"—",E134/F134)</x:f>
        <x:v>2.875</x:v>
      </x:c>
      <x:c r="I134" s="8" t="n">
        <x:v>120</x:v>
      </x:c>
      <x:c r="J134" s="8" t="str">
        <x:v>未加权</x:v>
      </x:c>
      <x:c r="K134" s="8" t="str">
        <x:v>synthetic-v1</x:v>
      </x:c>
      <x:c r="L134" s="8" t="str">
        <x:v>满意度与推荐!C51</x:v>
      </x:c>
    </x:row>
    <x:row r="135" ht="29" customHeight="1">
      <x:c r="A135" s="3" t="str">
        <x:v>R0131</x:v>
      </x:c>
      <x:c r="B135" s="3" t="str">
        <x:v>Q8/before</x:v>
      </x:c>
      <x:c r="C135" s="3" t="str">
        <x:v>mean/均值</x:v>
      </x:c>
      <x:c r="D135" s="3" t="str">
        <x:v>养宠家庭</x:v>
      </x:c>
      <x:c r="E135" s="3" t="n">
        <x:v>172</x:v>
      </x:c>
      <x:c r="F135" s="3" t="n">
        <x:v>60</x:v>
      </x:c>
      <x:c r="G135" s="3" t="str">
        <x:v>有效人数</x:v>
      </x:c>
      <x:c r="H135" s="17" t="n">
        <x:f>IF(F135=0,"—",E135/F135)</x:f>
        <x:v>2.8666666666666667</x:v>
      </x:c>
      <x:c r="I135" s="3" t="n">
        <x:v>60</x:v>
      </x:c>
      <x:c r="J135" s="3" t="str">
        <x:v>未加权</x:v>
      </x:c>
      <x:c r="K135" s="3" t="str">
        <x:v>synthetic-v1</x:v>
      </x:c>
      <x:c r="L135" s="3" t="str">
        <x:v>满意度与推荐!D51</x:v>
      </x:c>
    </x:row>
    <x:row r="136" ht="29" customHeight="1">
      <x:c r="A136" s="8" t="str">
        <x:v>R0132</x:v>
      </x:c>
      <x:c r="B136" s="8" t="str">
        <x:v>Q8/before</x:v>
      </x:c>
      <x:c r="C136" s="8" t="str">
        <x:v>mean/均值</x:v>
      </x:c>
      <x:c r="D136" s="8" t="str">
        <x:v>无宠家庭</x:v>
      </x:c>
      <x:c r="E136" s="8" t="n">
        <x:v>173</x:v>
      </x:c>
      <x:c r="F136" s="8" t="n">
        <x:v>60</x:v>
      </x:c>
      <x:c r="G136" s="8" t="str">
        <x:v>有效人数</x:v>
      </x:c>
      <x:c r="H136" s="19" t="n">
        <x:f>IF(F136=0,"—",E136/F136)</x:f>
        <x:v>2.8833333333333333</x:v>
      </x:c>
      <x:c r="I136" s="8" t="n">
        <x:v>60</x:v>
      </x:c>
      <x:c r="J136" s="8" t="str">
        <x:v>未加权</x:v>
      </x:c>
      <x:c r="K136" s="8" t="str">
        <x:v>synthetic-v1</x:v>
      </x:c>
      <x:c r="L136" s="8" t="str">
        <x:v>满意度与推荐!E51</x:v>
      </x:c>
    </x:row>
    <x:row r="137" ht="29" customHeight="1">
      <x:c r="A137" s="3" t="str">
        <x:v>R0133</x:v>
      </x:c>
      <x:c r="B137" s="3" t="str">
        <x:v>Q9/after</x:v>
      </x:c>
      <x:c r="C137" s="3" t="str">
        <x:v>proportion/1分</x:v>
      </x:c>
      <x:c r="D137" s="3" t="str">
        <x:v>总体</x:v>
      </x:c>
      <x:c r="E137" s="3" t="n">
        <x:v>13</x:v>
      </x:c>
      <x:c r="F137" s="3" t="n">
        <x:v>114</x:v>
      </x:c>
      <x:c r="G137" s="3" t="str">
        <x:v>有效人数</x:v>
      </x:c>
      <x:c r="H137" s="9" t="n">
        <x:f>IF(F137=0,"—",E137/F137)</x:f>
        <x:v>0.11403508771929824</x:v>
      </x:c>
      <x:c r="I137" s="3" t="n">
        <x:v>114</x:v>
      </x:c>
      <x:c r="J137" s="3" t="str">
        <x:v>未加权</x:v>
      </x:c>
      <x:c r="K137" s="3" t="str">
        <x:v>synthetic-v1</x:v>
      </x:c>
      <x:c r="L137" s="3" t="str">
        <x:v>满意度与推荐!C55</x:v>
      </x:c>
    </x:row>
    <x:row r="138" ht="29" customHeight="1">
      <x:c r="A138" s="8" t="str">
        <x:v>R0134</x:v>
      </x:c>
      <x:c r="B138" s="8" t="str">
        <x:v>Q9/after</x:v>
      </x:c>
      <x:c r="C138" s="8" t="str">
        <x:v>proportion/1分</x:v>
      </x:c>
      <x:c r="D138" s="8" t="str">
        <x:v>养宠家庭</x:v>
      </x:c>
      <x:c r="E138" s="8" t="n">
        <x:v>6</x:v>
      </x:c>
      <x:c r="F138" s="8" t="n">
        <x:v>57</x:v>
      </x:c>
      <x:c r="G138" s="8" t="str">
        <x:v>有效人数</x:v>
      </x:c>
      <x:c r="H138" s="10" t="n">
        <x:f>IF(F138=0,"—",E138/F138)</x:f>
        <x:v>0.10526315789473684</x:v>
      </x:c>
      <x:c r="I138" s="8" t="n">
        <x:v>57</x:v>
      </x:c>
      <x:c r="J138" s="8" t="str">
        <x:v>未加权</x:v>
      </x:c>
      <x:c r="K138" s="8" t="str">
        <x:v>synthetic-v1</x:v>
      </x:c>
      <x:c r="L138" s="8" t="str">
        <x:v>满意度与推荐!D55</x:v>
      </x:c>
    </x:row>
    <x:row r="139" ht="29" customHeight="1">
      <x:c r="A139" s="3" t="str">
        <x:v>R0135</x:v>
      </x:c>
      <x:c r="B139" s="3" t="str">
        <x:v>Q9/after</x:v>
      </x:c>
      <x:c r="C139" s="3" t="str">
        <x:v>proportion/1分</x:v>
      </x:c>
      <x:c r="D139" s="3" t="str">
        <x:v>无宠家庭</x:v>
      </x:c>
      <x:c r="E139" s="3" t="n">
        <x:v>7</x:v>
      </x:c>
      <x:c r="F139" s="3" t="n">
        <x:v>57</x:v>
      </x:c>
      <x:c r="G139" s="3" t="str">
        <x:v>有效人数</x:v>
      </x:c>
      <x:c r="H139" s="9" t="n">
        <x:f>IF(F139=0,"—",E139/F139)</x:f>
        <x:v>0.12280701754385964</x:v>
      </x:c>
      <x:c r="I139" s="3" t="n">
        <x:v>57</x:v>
      </x:c>
      <x:c r="J139" s="3" t="str">
        <x:v>未加权</x:v>
      </x:c>
      <x:c r="K139" s="3" t="str">
        <x:v>synthetic-v1</x:v>
      </x:c>
      <x:c r="L139" s="3" t="str">
        <x:v>满意度与推荐!E55</x:v>
      </x:c>
    </x:row>
    <x:row r="140" ht="29" customHeight="1">
      <x:c r="A140" s="8" t="str">
        <x:v>R0136</x:v>
      </x:c>
      <x:c r="B140" s="8" t="str">
        <x:v>Q9/after</x:v>
      </x:c>
      <x:c r="C140" s="8" t="str">
        <x:v>proportion/2分</x:v>
      </x:c>
      <x:c r="D140" s="8" t="str">
        <x:v>总体</x:v>
      </x:c>
      <x:c r="E140" s="8" t="n">
        <x:v>16</x:v>
      </x:c>
      <x:c r="F140" s="8" t="n">
        <x:v>114</x:v>
      </x:c>
      <x:c r="G140" s="8" t="str">
        <x:v>有效人数</x:v>
      </x:c>
      <x:c r="H140" s="10" t="n">
        <x:f>IF(F140=0,"—",E140/F140)</x:f>
        <x:v>0.14035087719298245</x:v>
      </x:c>
      <x:c r="I140" s="8" t="n">
        <x:v>114</x:v>
      </x:c>
      <x:c r="J140" s="8" t="str">
        <x:v>未加权</x:v>
      </x:c>
      <x:c r="K140" s="8" t="str">
        <x:v>synthetic-v1</x:v>
      </x:c>
      <x:c r="L140" s="8" t="str">
        <x:v>满意度与推荐!C56</x:v>
      </x:c>
    </x:row>
    <x:row r="141" ht="29" customHeight="1">
      <x:c r="A141" s="3" t="str">
        <x:v>R0137</x:v>
      </x:c>
      <x:c r="B141" s="3" t="str">
        <x:v>Q9/after</x:v>
      </x:c>
      <x:c r="C141" s="3" t="str">
        <x:v>proportion/2分</x:v>
      </x:c>
      <x:c r="D141" s="3" t="str">
        <x:v>养宠家庭</x:v>
      </x:c>
      <x:c r="E141" s="3" t="n">
        <x:v>9</x:v>
      </x:c>
      <x:c r="F141" s="3" t="n">
        <x:v>57</x:v>
      </x:c>
      <x:c r="G141" s="3" t="str">
        <x:v>有效人数</x:v>
      </x:c>
      <x:c r="H141" s="9" t="n">
        <x:f>IF(F141=0,"—",E141/F141)</x:f>
        <x:v>0.15789473684210525</x:v>
      </x:c>
      <x:c r="I141" s="3" t="n">
        <x:v>57</x:v>
      </x:c>
      <x:c r="J141" s="3" t="str">
        <x:v>未加权</x:v>
      </x:c>
      <x:c r="K141" s="3" t="str">
        <x:v>synthetic-v1</x:v>
      </x:c>
      <x:c r="L141" s="3" t="str">
        <x:v>满意度与推荐!D56</x:v>
      </x:c>
    </x:row>
    <x:row r="142" ht="29" customHeight="1">
      <x:c r="A142" s="8" t="str">
        <x:v>R0138</x:v>
      </x:c>
      <x:c r="B142" s="8" t="str">
        <x:v>Q9/after</x:v>
      </x:c>
      <x:c r="C142" s="8" t="str">
        <x:v>proportion/2分</x:v>
      </x:c>
      <x:c r="D142" s="8" t="str">
        <x:v>无宠家庭</x:v>
      </x:c>
      <x:c r="E142" s="8" t="n">
        <x:v>7</x:v>
      </x:c>
      <x:c r="F142" s="8" t="n">
        <x:v>57</x:v>
      </x:c>
      <x:c r="G142" s="8" t="str">
        <x:v>有效人数</x:v>
      </x:c>
      <x:c r="H142" s="10" t="n">
        <x:f>IF(F142=0,"—",E142/F142)</x:f>
        <x:v>0.12280701754385964</x:v>
      </x:c>
      <x:c r="I142" s="8" t="n">
        <x:v>57</x:v>
      </x:c>
      <x:c r="J142" s="8" t="str">
        <x:v>未加权</x:v>
      </x:c>
      <x:c r="K142" s="8" t="str">
        <x:v>synthetic-v1</x:v>
      </x:c>
      <x:c r="L142" s="8" t="str">
        <x:v>满意度与推荐!E56</x:v>
      </x:c>
    </x:row>
    <x:row r="143" ht="29" customHeight="1">
      <x:c r="A143" s="3" t="str">
        <x:v>R0139</x:v>
      </x:c>
      <x:c r="B143" s="3" t="str">
        <x:v>Q9/after</x:v>
      </x:c>
      <x:c r="C143" s="3" t="str">
        <x:v>proportion/3分</x:v>
      </x:c>
      <x:c r="D143" s="3" t="str">
        <x:v>总体</x:v>
      </x:c>
      <x:c r="E143" s="3" t="n">
        <x:v>25</x:v>
      </x:c>
      <x:c r="F143" s="3" t="n">
        <x:v>114</x:v>
      </x:c>
      <x:c r="G143" s="3" t="str">
        <x:v>有效人数</x:v>
      </x:c>
      <x:c r="H143" s="9" t="n">
        <x:f>IF(F143=0,"—",E143/F143)</x:f>
        <x:v>0.21929824561403508</x:v>
      </x:c>
      <x:c r="I143" s="3" t="n">
        <x:v>114</x:v>
      </x:c>
      <x:c r="J143" s="3" t="str">
        <x:v>未加权</x:v>
      </x:c>
      <x:c r="K143" s="3" t="str">
        <x:v>synthetic-v1</x:v>
      </x:c>
      <x:c r="L143" s="3" t="str">
        <x:v>满意度与推荐!C57</x:v>
      </x:c>
    </x:row>
    <x:row r="144" ht="29" customHeight="1">
      <x:c r="A144" s="8" t="str">
        <x:v>R0140</x:v>
      </x:c>
      <x:c r="B144" s="8" t="str">
        <x:v>Q9/after</x:v>
      </x:c>
      <x:c r="C144" s="8" t="str">
        <x:v>proportion/3分</x:v>
      </x:c>
      <x:c r="D144" s="8" t="str">
        <x:v>养宠家庭</x:v>
      </x:c>
      <x:c r="E144" s="8" t="n">
        <x:v>12</x:v>
      </x:c>
      <x:c r="F144" s="8" t="n">
        <x:v>57</x:v>
      </x:c>
      <x:c r="G144" s="8" t="str">
        <x:v>有效人数</x:v>
      </x:c>
      <x:c r="H144" s="10" t="n">
        <x:f>IF(F144=0,"—",E144/F144)</x:f>
        <x:v>0.21052631578947367</x:v>
      </x:c>
      <x:c r="I144" s="8" t="n">
        <x:v>57</x:v>
      </x:c>
      <x:c r="J144" s="8" t="str">
        <x:v>未加权</x:v>
      </x:c>
      <x:c r="K144" s="8" t="str">
        <x:v>synthetic-v1</x:v>
      </x:c>
      <x:c r="L144" s="8" t="str">
        <x:v>满意度与推荐!D57</x:v>
      </x:c>
    </x:row>
    <x:row r="145" ht="29" customHeight="1">
      <x:c r="A145" s="3" t="str">
        <x:v>R0141</x:v>
      </x:c>
      <x:c r="B145" s="3" t="str">
        <x:v>Q9/after</x:v>
      </x:c>
      <x:c r="C145" s="3" t="str">
        <x:v>proportion/3分</x:v>
      </x:c>
      <x:c r="D145" s="3" t="str">
        <x:v>无宠家庭</x:v>
      </x:c>
      <x:c r="E145" s="3" t="n">
        <x:v>13</x:v>
      </x:c>
      <x:c r="F145" s="3" t="n">
        <x:v>57</x:v>
      </x:c>
      <x:c r="G145" s="3" t="str">
        <x:v>有效人数</x:v>
      </x:c>
      <x:c r="H145" s="9" t="n">
        <x:f>IF(F145=0,"—",E145/F145)</x:f>
        <x:v>0.22807017543859648</x:v>
      </x:c>
      <x:c r="I145" s="3" t="n">
        <x:v>57</x:v>
      </x:c>
      <x:c r="J145" s="3" t="str">
        <x:v>未加权</x:v>
      </x:c>
      <x:c r="K145" s="3" t="str">
        <x:v>synthetic-v1</x:v>
      </x:c>
      <x:c r="L145" s="3" t="str">
        <x:v>满意度与推荐!E57</x:v>
      </x:c>
    </x:row>
    <x:row r="146" ht="29" customHeight="1">
      <x:c r="A146" s="8" t="str">
        <x:v>R0142</x:v>
      </x:c>
      <x:c r="B146" s="8" t="str">
        <x:v>Q9/after</x:v>
      </x:c>
      <x:c r="C146" s="8" t="str">
        <x:v>proportion/4分</x:v>
      </x:c>
      <x:c r="D146" s="8" t="str">
        <x:v>总体</x:v>
      </x:c>
      <x:c r="E146" s="8" t="n">
        <x:v>37</x:v>
      </x:c>
      <x:c r="F146" s="8" t="n">
        <x:v>114</x:v>
      </x:c>
      <x:c r="G146" s="8" t="str">
        <x:v>有效人数</x:v>
      </x:c>
      <x:c r="H146" s="10" t="n">
        <x:f>IF(F146=0,"—",E146/F146)</x:f>
        <x:v>0.32456140350877194</x:v>
      </x:c>
      <x:c r="I146" s="8" t="n">
        <x:v>114</x:v>
      </x:c>
      <x:c r="J146" s="8" t="str">
        <x:v>未加权</x:v>
      </x:c>
      <x:c r="K146" s="8" t="str">
        <x:v>synthetic-v1</x:v>
      </x:c>
      <x:c r="L146" s="8" t="str">
        <x:v>满意度与推荐!C58</x:v>
      </x:c>
    </x:row>
    <x:row r="147" ht="29" customHeight="1">
      <x:c r="A147" s="3" t="str">
        <x:v>R0143</x:v>
      </x:c>
      <x:c r="B147" s="3" t="str">
        <x:v>Q9/after</x:v>
      </x:c>
      <x:c r="C147" s="3" t="str">
        <x:v>proportion/4分</x:v>
      </x:c>
      <x:c r="D147" s="3" t="str">
        <x:v>养宠家庭</x:v>
      </x:c>
      <x:c r="E147" s="3" t="n">
        <x:v>20</x:v>
      </x:c>
      <x:c r="F147" s="3" t="n">
        <x:v>57</x:v>
      </x:c>
      <x:c r="G147" s="3" t="str">
        <x:v>有效人数</x:v>
      </x:c>
      <x:c r="H147" s="9" t="n">
        <x:f>IF(F147=0,"—",E147/F147)</x:f>
        <x:v>0.3508771929824561</x:v>
      </x:c>
      <x:c r="I147" s="3" t="n">
        <x:v>57</x:v>
      </x:c>
      <x:c r="J147" s="3" t="str">
        <x:v>未加权</x:v>
      </x:c>
      <x:c r="K147" s="3" t="str">
        <x:v>synthetic-v1</x:v>
      </x:c>
      <x:c r="L147" s="3" t="str">
        <x:v>满意度与推荐!D58</x:v>
      </x:c>
    </x:row>
    <x:row r="148" ht="29" customHeight="1">
      <x:c r="A148" s="8" t="str">
        <x:v>R0144</x:v>
      </x:c>
      <x:c r="B148" s="8" t="str">
        <x:v>Q9/after</x:v>
      </x:c>
      <x:c r="C148" s="8" t="str">
        <x:v>proportion/4分</x:v>
      </x:c>
      <x:c r="D148" s="8" t="str">
        <x:v>无宠家庭</x:v>
      </x:c>
      <x:c r="E148" s="8" t="n">
        <x:v>17</x:v>
      </x:c>
      <x:c r="F148" s="8" t="n">
        <x:v>57</x:v>
      </x:c>
      <x:c r="G148" s="8" t="str">
        <x:v>有效人数</x:v>
      </x:c>
      <x:c r="H148" s="10" t="n">
        <x:f>IF(F148=0,"—",E148/F148)</x:f>
        <x:v>0.2982456140350877</x:v>
      </x:c>
      <x:c r="I148" s="8" t="n">
        <x:v>57</x:v>
      </x:c>
      <x:c r="J148" s="8" t="str">
        <x:v>未加权</x:v>
      </x:c>
      <x:c r="K148" s="8" t="str">
        <x:v>synthetic-v1</x:v>
      </x:c>
      <x:c r="L148" s="8" t="str">
        <x:v>满意度与推荐!E58</x:v>
      </x:c>
    </x:row>
    <x:row r="149" ht="29" customHeight="1">
      <x:c r="A149" s="3" t="str">
        <x:v>R0145</x:v>
      </x:c>
      <x:c r="B149" s="3" t="str">
        <x:v>Q9/after</x:v>
      </x:c>
      <x:c r="C149" s="3" t="str">
        <x:v>proportion/5分</x:v>
      </x:c>
      <x:c r="D149" s="3" t="str">
        <x:v>总体</x:v>
      </x:c>
      <x:c r="E149" s="3" t="n">
        <x:v>23</x:v>
      </x:c>
      <x:c r="F149" s="3" t="n">
        <x:v>114</x:v>
      </x:c>
      <x:c r="G149" s="3" t="str">
        <x:v>有效人数</x:v>
      </x:c>
      <x:c r="H149" s="9" t="n">
        <x:f>IF(F149=0,"—",E149/F149)</x:f>
        <x:v>0.20175438596491227</x:v>
      </x:c>
      <x:c r="I149" s="3" t="n">
        <x:v>114</x:v>
      </x:c>
      <x:c r="J149" s="3" t="str">
        <x:v>未加权</x:v>
      </x:c>
      <x:c r="K149" s="3" t="str">
        <x:v>synthetic-v1</x:v>
      </x:c>
      <x:c r="L149" s="3" t="str">
        <x:v>满意度与推荐!C59</x:v>
      </x:c>
    </x:row>
    <x:row r="150" ht="29" customHeight="1">
      <x:c r="A150" s="8" t="str">
        <x:v>R0146</x:v>
      </x:c>
      <x:c r="B150" s="8" t="str">
        <x:v>Q9/after</x:v>
      </x:c>
      <x:c r="C150" s="8" t="str">
        <x:v>proportion/5分</x:v>
      </x:c>
      <x:c r="D150" s="8" t="str">
        <x:v>养宠家庭</x:v>
      </x:c>
      <x:c r="E150" s="8" t="n">
        <x:v>10</x:v>
      </x:c>
      <x:c r="F150" s="8" t="n">
        <x:v>57</x:v>
      </x:c>
      <x:c r="G150" s="8" t="str">
        <x:v>有效人数</x:v>
      </x:c>
      <x:c r="H150" s="10" t="n">
        <x:f>IF(F150=0,"—",E150/F150)</x:f>
        <x:v>0.17543859649122806</x:v>
      </x:c>
      <x:c r="I150" s="8" t="n">
        <x:v>57</x:v>
      </x:c>
      <x:c r="J150" s="8" t="str">
        <x:v>未加权</x:v>
      </x:c>
      <x:c r="K150" s="8" t="str">
        <x:v>synthetic-v1</x:v>
      </x:c>
      <x:c r="L150" s="8" t="str">
        <x:v>满意度与推荐!D59</x:v>
      </x:c>
    </x:row>
    <x:row r="151" ht="29" customHeight="1">
      <x:c r="A151" s="3" t="str">
        <x:v>R0147</x:v>
      </x:c>
      <x:c r="B151" s="3" t="str">
        <x:v>Q9/after</x:v>
      </x:c>
      <x:c r="C151" s="3" t="str">
        <x:v>proportion/5分</x:v>
      </x:c>
      <x:c r="D151" s="3" t="str">
        <x:v>无宠家庭</x:v>
      </x:c>
      <x:c r="E151" s="3" t="n">
        <x:v>13</x:v>
      </x:c>
      <x:c r="F151" s="3" t="n">
        <x:v>57</x:v>
      </x:c>
      <x:c r="G151" s="3" t="str">
        <x:v>有效人数</x:v>
      </x:c>
      <x:c r="H151" s="9" t="n">
        <x:f>IF(F151=0,"—",E151/F151)</x:f>
        <x:v>0.22807017543859648</x:v>
      </x:c>
      <x:c r="I151" s="3" t="n">
        <x:v>57</x:v>
      </x:c>
      <x:c r="J151" s="3" t="str">
        <x:v>未加权</x:v>
      </x:c>
      <x:c r="K151" s="3" t="str">
        <x:v>synthetic-v1</x:v>
      </x:c>
      <x:c r="L151" s="3" t="str">
        <x:v>满意度与推荐!E59</x:v>
      </x:c>
    </x:row>
    <x:row r="152" ht="29" customHeight="1">
      <x:c r="A152" s="8" t="str">
        <x:v>R0148</x:v>
      </x:c>
      <x:c r="B152" s="8" t="str">
        <x:v>Q9/after</x:v>
      </x:c>
      <x:c r="C152" s="8" t="str">
        <x:v>top2/TOP2</x:v>
      </x:c>
      <x:c r="D152" s="8" t="str">
        <x:v>总体</x:v>
      </x:c>
      <x:c r="E152" s="8" t="n">
        <x:v>60</x:v>
      </x:c>
      <x:c r="F152" s="8" t="n">
        <x:v>114</x:v>
      </x:c>
      <x:c r="G152" s="8" t="str">
        <x:v>有效人数</x:v>
      </x:c>
      <x:c r="H152" s="10" t="n">
        <x:f>IF(F152=0,"—",E152/F152)</x:f>
        <x:v>0.5263157894736842</x:v>
      </x:c>
      <x:c r="I152" s="8" t="n">
        <x:v>114</x:v>
      </x:c>
      <x:c r="J152" s="8" t="str">
        <x:v>未加权</x:v>
      </x:c>
      <x:c r="K152" s="8" t="str">
        <x:v>synthetic-v1</x:v>
      </x:c>
      <x:c r="L152" s="8" t="str">
        <x:v>满意度与推荐!C60</x:v>
      </x:c>
    </x:row>
    <x:row r="153" ht="29" customHeight="1">
      <x:c r="A153" s="3" t="str">
        <x:v>R0149</x:v>
      </x:c>
      <x:c r="B153" s="3" t="str">
        <x:v>Q9/after</x:v>
      </x:c>
      <x:c r="C153" s="3" t="str">
        <x:v>top2/TOP2</x:v>
      </x:c>
      <x:c r="D153" s="3" t="str">
        <x:v>养宠家庭</x:v>
      </x:c>
      <x:c r="E153" s="3" t="n">
        <x:v>30</x:v>
      </x:c>
      <x:c r="F153" s="3" t="n">
        <x:v>57</x:v>
      </x:c>
      <x:c r="G153" s="3" t="str">
        <x:v>有效人数</x:v>
      </x:c>
      <x:c r="H153" s="9" t="n">
        <x:f>IF(F153=0,"—",E153/F153)</x:f>
        <x:v>0.5263157894736842</x:v>
      </x:c>
      <x:c r="I153" s="3" t="n">
        <x:v>57</x:v>
      </x:c>
      <x:c r="J153" s="3" t="str">
        <x:v>未加权</x:v>
      </x:c>
      <x:c r="K153" s="3" t="str">
        <x:v>synthetic-v1</x:v>
      </x:c>
      <x:c r="L153" s="3" t="str">
        <x:v>满意度与推荐!D60</x:v>
      </x:c>
    </x:row>
    <x:row r="154" ht="29" customHeight="1">
      <x:c r="A154" s="8" t="str">
        <x:v>R0150</x:v>
      </x:c>
      <x:c r="B154" s="8" t="str">
        <x:v>Q9/after</x:v>
      </x:c>
      <x:c r="C154" s="8" t="str">
        <x:v>top2/TOP2</x:v>
      </x:c>
      <x:c r="D154" s="8" t="str">
        <x:v>无宠家庭</x:v>
      </x:c>
      <x:c r="E154" s="8" t="n">
        <x:v>30</x:v>
      </x:c>
      <x:c r="F154" s="8" t="n">
        <x:v>57</x:v>
      </x:c>
      <x:c r="G154" s="8" t="str">
        <x:v>有效人数</x:v>
      </x:c>
      <x:c r="H154" s="10" t="n">
        <x:f>IF(F154=0,"—",E154/F154)</x:f>
        <x:v>0.5263157894736842</x:v>
      </x:c>
      <x:c r="I154" s="8" t="n">
        <x:v>57</x:v>
      </x:c>
      <x:c r="J154" s="8" t="str">
        <x:v>未加权</x:v>
      </x:c>
      <x:c r="K154" s="8" t="str">
        <x:v>synthetic-v1</x:v>
      </x:c>
      <x:c r="L154" s="8" t="str">
        <x:v>满意度与推荐!E60</x:v>
      </x:c>
    </x:row>
    <x:row r="155" ht="29" customHeight="1">
      <x:c r="A155" s="3" t="str">
        <x:v>R0151</x:v>
      </x:c>
      <x:c r="B155" s="3" t="str">
        <x:v>Q9/after</x:v>
      </x:c>
      <x:c r="C155" s="3" t="str">
        <x:v>mean/均值</x:v>
      </x:c>
      <x:c r="D155" s="3" t="str">
        <x:v>总体</x:v>
      </x:c>
      <x:c r="E155" s="3" t="n">
        <x:v>383</x:v>
      </x:c>
      <x:c r="F155" s="3" t="n">
        <x:v>114</x:v>
      </x:c>
      <x:c r="G155" s="3" t="str">
        <x:v>有效人数</x:v>
      </x:c>
      <x:c r="H155" s="17" t="n">
        <x:f>IF(F155=0,"—",E155/F155)</x:f>
        <x:v>3.3596491228070176</x:v>
      </x:c>
      <x:c r="I155" s="3" t="n">
        <x:v>114</x:v>
      </x:c>
      <x:c r="J155" s="3" t="str">
        <x:v>未加权</x:v>
      </x:c>
      <x:c r="K155" s="3" t="str">
        <x:v>synthetic-v1</x:v>
      </x:c>
      <x:c r="L155" s="3" t="str">
        <x:v>满意度与推荐!C61</x:v>
      </x:c>
    </x:row>
    <x:row r="156" ht="29" customHeight="1">
      <x:c r="A156" s="8" t="str">
        <x:v>R0152</x:v>
      </x:c>
      <x:c r="B156" s="8" t="str">
        <x:v>Q9/after</x:v>
      </x:c>
      <x:c r="C156" s="8" t="str">
        <x:v>mean/均值</x:v>
      </x:c>
      <x:c r="D156" s="8" t="str">
        <x:v>养宠家庭</x:v>
      </x:c>
      <x:c r="E156" s="8" t="n">
        <x:v>190</x:v>
      </x:c>
      <x:c r="F156" s="8" t="n">
        <x:v>57</x:v>
      </x:c>
      <x:c r="G156" s="8" t="str">
        <x:v>有效人数</x:v>
      </x:c>
      <x:c r="H156" s="19" t="n">
        <x:f>IF(F156=0,"—",E156/F156)</x:f>
        <x:v>3.3333333333333335</x:v>
      </x:c>
      <x:c r="I156" s="8" t="n">
        <x:v>57</x:v>
      </x:c>
      <x:c r="J156" s="8" t="str">
        <x:v>未加权</x:v>
      </x:c>
      <x:c r="K156" s="8" t="str">
        <x:v>synthetic-v1</x:v>
      </x:c>
      <x:c r="L156" s="8" t="str">
        <x:v>满意度与推荐!D61</x:v>
      </x:c>
    </x:row>
    <x:row r="157" ht="29" customHeight="1">
      <x:c r="A157" s="3" t="str">
        <x:v>R0153</x:v>
      </x:c>
      <x:c r="B157" s="3" t="str">
        <x:v>Q9/after</x:v>
      </x:c>
      <x:c r="C157" s="3" t="str">
        <x:v>mean/均值</x:v>
      </x:c>
      <x:c r="D157" s="3" t="str">
        <x:v>无宠家庭</x:v>
      </x:c>
      <x:c r="E157" s="3" t="n">
        <x:v>193</x:v>
      </x:c>
      <x:c r="F157" s="3" t="n">
        <x:v>57</x:v>
      </x:c>
      <x:c r="G157" s="3" t="str">
        <x:v>有效人数</x:v>
      </x:c>
      <x:c r="H157" s="17" t="n">
        <x:f>IF(F157=0,"—",E157/F157)</x:f>
        <x:v>3.3859649122807016</x:v>
      </x:c>
      <x:c r="I157" s="3" t="n">
        <x:v>57</x:v>
      </x:c>
      <x:c r="J157" s="3" t="str">
        <x:v>未加权</x:v>
      </x:c>
      <x:c r="K157" s="3" t="str">
        <x:v>synthetic-v1</x:v>
      </x:c>
      <x:c r="L157" s="3" t="str">
        <x:v>满意度与推荐!E61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88" hidden="0" customWidth="1"/>
    <x:col min="3" max="3" width="30" hidden="0" customWidth="1"/>
  </x:cols>
  <x:sheetData>
    <x:row r="1" ht="29" customHeight="1">
      <x:c r="A1" s="3"/>
      <x:c r="B1" s="3"/>
      <x:c r="C1" s="3"/>
    </x:row>
    <x:row r="2" ht="36" customHeight="1">
      <x:c r="A2" s="5" t="str">
        <x:v>模拟结果解读 · 从差异到后续研究</x:v>
      </x:c>
      <x:c r="B2" s="3"/>
      <x:c r="C2" s="3"/>
    </x:row>
    <x:row r="3" ht="29" customHeight="1">
      <x:c r="A3" s="3"/>
      <x:c r="B3" s="3"/>
      <x:c r="C3" s="3"/>
    </x:row>
    <x:row r="4" ht="35" customHeight="1">
      <x:c r="A4" s="7" t="str">
        <x:v>发现</x:v>
      </x:c>
      <x:c r="B4" s="7" t="str">
        <x:v>分析与含义</x:v>
      </x:c>
      <x:c r="C4" s="7" t="str">
        <x:v>结果定位</x:v>
      </x:c>
    </x:row>
    <x:row r="5" ht="106" customHeight="1">
      <x:c r="A5" s="3" t="str">
        <x:v>养宠家庭的毛发问题更集中</x:v>
      </x:c>
      <x:c r="B5" s="3" t="str">
        <x:v>养宠家庭71.9%，无宠家庭24.6%，差47.4个百分点。若实际研究出现类似差异，可优先验证防缠绕结构和清洁维护时间。</x:v>
      </x:c>
      <x:c r="C5" s="3" t="str">
        <x:v>R0017 / R0018</x:v>
      </x:c>
    </x:row>
    <x:row r="6" ht="106" customHeight="1">
      <x:c r="A6" s="8" t="str">
        <x:v>分组满意度帮助确定改善对象</x:v>
      </x:c>
      <x:c r="B6" s="8" t="str">
        <x:v>养宠家庭满意度TOP2为41.4%，无宠家庭62.1%。结合毛发问题，下一步应检验同一人群的问题与满意度关系；本例未做驱动模型。</x:v>
      </x:c>
      <x:c r="C6" s="8" t="str">
        <x:v>R0044 / R0045</x:v>
      </x:c>
    </x:row>
    <x:row r="7" ht="106" customHeight="1">
      <x:c r="A7" s="3" t="str">
        <x:v>体验兴趣变化要用共同回答者比较</x:v>
      </x:c>
      <x:c r="B7" s="3" t="str">
        <x:v>配对114份，TOP2由27.2%变为52.6%，净增25.4个百分点；31人跨入TOP2，2人退出。可用于定位体验后的兴趣变化，实际购买仍需后续行为验证。</x:v>
      </x:c>
      <x:c r="C7" s="3" t="str">
        <x:v>差异检验!A5:B16</x:v>
      </x:c>
    </x:row>
    <x:row r="8" ht="106" customHeight="1">
      <x:c r="A8" s="8" t="str">
        <x:v>售后评价只代表联系过售后的人</x:v>
      </x:c>
      <x:c r="B8" s="8" t="str">
        <x:v>联系过售后30人，其中2人未回答满意度。Q6的有效人数应按这一路由计算，不能拿全部120人作分母。</x:v>
      </x:c>
      <x:c r="C8" s="8" t="str">
        <x:v>Q5 / Q6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3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9" customHeight="1">
      <x:c r="A1" s="3"/>
      <x:c r="B1" s="3"/>
      <x:c r="C1" s="3"/>
      <x:c r="D1" s="3"/>
      <x:c r="E1" s="3"/>
    </x:row>
    <x:row r="2" ht="36" customHeight="1">
      <x:c r="A2" s="5" t="str">
        <x:v>购买与使用 · 总体与家庭分组</x:v>
      </x:c>
      <x:c r="B2" s="3"/>
      <x:c r="C2" s="3"/>
      <x:c r="D2" s="3"/>
      <x:c r="E2" s="3"/>
    </x:row>
    <x:row r="3" ht="29" customHeight="1">
      <x:c r="A3" s="3"/>
      <x:c r="B3" s="3"/>
      <x:c r="C3" s="3"/>
      <x:c r="D3" s="3"/>
      <x:c r="E3" s="3"/>
    </x:row>
    <x:row r="4" ht="35" customHeight="1">
      <x:c r="A4" s="7" t="str">
        <x:v>题目</x:v>
      </x:c>
      <x:c r="B4" s="7" t="str">
        <x:v>选项／统计项</x:v>
      </x:c>
      <x:c r="C4" s="7" t="str">
        <x:v>总体</x:v>
      </x:c>
      <x:c r="D4" s="7" t="str">
        <x:v>养宠家庭</x:v>
      </x:c>
      <x:c r="E4" s="7" t="str">
        <x:v>无宠家庭</x:v>
      </x:c>
    </x:row>
    <x:row r="5" ht="40" customHeight="1">
      <x:c r="A5" s="3" t="str">
        <x:v>Q1 家中是否养宠物？</x:v>
      </x:c>
      <x:c r="B5" s="3" t="str">
        <x:v>养宠</x:v>
      </x:c>
      <x:c r="C5" s="9" t="n">
        <x:f>'结果索引'!H5</x:f>
        <x:v>0.5</x:v>
      </x:c>
      <x:c r="D5" s="9" t="n">
        <x:f>'结果索引'!H6</x:f>
        <x:v>1</x:v>
      </x:c>
      <x:c r="E5" s="9" t="n">
        <x:f>'结果索引'!H7</x:f>
        <x:v>0</x:v>
      </x:c>
    </x:row>
    <x:row r="6" ht="40" customHeight="1">
      <x:c r="A6" s="8"/>
      <x:c r="B6" s="8" t="str">
        <x:v>无宠</x:v>
      </x:c>
      <x:c r="C6" s="10" t="n">
        <x:f>'结果索引'!H8</x:f>
        <x:v>0.5</x:v>
      </x:c>
      <x:c r="D6" s="10" t="n">
        <x:f>'结果索引'!H9</x:f>
        <x:v>0</x:v>
      </x:c>
      <x:c r="E6" s="10" t="n">
        <x:f>'结果索引'!H10</x:f>
        <x:v>1</x:v>
      </x:c>
    </x:row>
    <x:row r="7" ht="40" customHeight="1">
      <x:c r="A7" s="11"/>
      <x:c r="B7" s="11" t="str">
        <x:v>总计</x:v>
      </x:c>
      <x:c r="C7" s="12" t="n">
        <x:f>SUM(C5:C6)</x:f>
        <x:v>1</x:v>
      </x:c>
      <x:c r="D7" s="12" t="n">
        <x:f>SUM(D5:D6)</x:f>
        <x:v>1</x:v>
      </x:c>
      <x:c r="E7" s="12" t="n">
        <x:f>SUM(E5:E6)</x:f>
        <x:v>1</x:v>
      </x:c>
    </x:row>
    <x:row r="8" ht="40" customHeight="1">
      <x:c r="A8" s="14"/>
      <x:c r="B8" s="14" t="str">
        <x:v>样本量</x:v>
      </x:c>
      <x:c r="C8" s="15" t="n">
        <x:v>120</x:v>
      </x:c>
      <x:c r="D8" s="15" t="n">
        <x:v>60</x:v>
      </x:c>
      <x:c r="E8" s="15" t="n">
        <x:v>60</x:v>
      </x:c>
    </x:row>
    <x:row r="9" ht="29" customHeight="1">
      <x:c r="A9" s="3"/>
      <x:c r="B9" s="3"/>
      <x:c r="C9" s="3"/>
      <x:c r="D9" s="3"/>
      <x:c r="E9" s="3"/>
    </x:row>
    <x:row r="10" ht="40" customHeight="1">
      <x:c r="A10" s="8" t="str">
        <x:v>Q2 过去一周使用扫地机器人的天数？</x:v>
      </x:c>
      <x:c r="B10" s="8" t="str">
        <x:v>1—2天</x:v>
      </x:c>
      <x:c r="C10" s="10" t="n">
        <x:f>'结果索引'!H11</x:f>
        <x:v>0.26666666666666666</x:v>
      </x:c>
      <x:c r="D10" s="10" t="n">
        <x:f>'结果索引'!H12</x:f>
        <x:v>0.18333333333333332</x:v>
      </x:c>
      <x:c r="E10" s="10" t="n">
        <x:f>'结果索引'!H13</x:f>
        <x:v>0.35</x:v>
      </x:c>
    </x:row>
    <x:row r="11" ht="40" customHeight="1">
      <x:c r="A11" s="3"/>
      <x:c r="B11" s="3" t="str">
        <x:v>3—4天</x:v>
      </x:c>
      <x:c r="C11" s="9" t="n">
        <x:f>'结果索引'!H14</x:f>
        <x:v>0.375</x:v>
      </x:c>
      <x:c r="D11" s="9" t="n">
        <x:f>'结果索引'!H15</x:f>
        <x:v>0.2833333333333333</x:v>
      </x:c>
      <x:c r="E11" s="9" t="n">
        <x:f>'结果索引'!H16</x:f>
        <x:v>0.4666666666666667</x:v>
      </x:c>
    </x:row>
    <x:row r="12" ht="40" customHeight="1">
      <x:c r="A12" s="8"/>
      <x:c r="B12" s="8" t="str">
        <x:v>5—7天</x:v>
      </x:c>
      <x:c r="C12" s="10" t="n">
        <x:f>'结果索引'!H17</x:f>
        <x:v>0.35833333333333334</x:v>
      </x:c>
      <x:c r="D12" s="10" t="n">
        <x:f>'结果索引'!H18</x:f>
        <x:v>0.5333333333333333</x:v>
      </x:c>
      <x:c r="E12" s="10" t="n">
        <x:f>'结果索引'!H19</x:f>
        <x:v>0.18333333333333332</x:v>
      </x:c>
    </x:row>
    <x:row r="13" ht="40" customHeight="1">
      <x:c r="A13" s="11"/>
      <x:c r="B13" s="11" t="str">
        <x:v>总计</x:v>
      </x:c>
      <x:c r="C13" s="12" t="n">
        <x:f>SUM(C10:C12)</x:f>
        <x:v>1</x:v>
      </x:c>
      <x:c r="D13" s="12" t="n">
        <x:f>SUM(D10:D12)</x:f>
        <x:v>1</x:v>
      </x:c>
      <x:c r="E13" s="12" t="n">
        <x:f>SUM(E10:E12)</x:f>
        <x:v>1</x:v>
      </x:c>
    </x:row>
    <x:row r="14" ht="40" customHeight="1">
      <x:c r="A14" s="14"/>
      <x:c r="B14" s="14" t="str">
        <x:v>样本量</x:v>
      </x:c>
      <x:c r="C14" s="15" t="n">
        <x:v>120</x:v>
      </x:c>
      <x:c r="D14" s="15" t="n">
        <x:v>60</x:v>
      </x:c>
      <x:c r="E14" s="15" t="n">
        <x:v>60</x:v>
      </x:c>
    </x:row>
    <x:row r="15" ht="29" customHeight="1">
      <x:c r="A15" s="3"/>
      <x:c r="B15" s="3"/>
      <x:c r="C15" s="3"/>
      <x:c r="D15" s="3"/>
      <x:c r="E15" s="3"/>
    </x:row>
    <x:row r="16" ht="40" customHeight="1">
      <x:c r="A16" s="8" t="str">
        <x:v>Q3 过去一个月遇到过哪些问题？（多选）</x:v>
      </x:c>
      <x:c r="B16" s="8" t="str">
        <x:v>毛发缠绕</x:v>
      </x:c>
      <x:c r="C16" s="10" t="n">
        <x:f>'结果索引'!H20</x:f>
        <x:v>0.4824561403508772</x:v>
      </x:c>
      <x:c r="D16" s="10" t="n">
        <x:f>'结果索引'!H21</x:f>
        <x:v>0.7192982456140351</x:v>
      </x:c>
      <x:c r="E16" s="10" t="n">
        <x:f>'结果索引'!H22</x:f>
        <x:v>0.24561403508771928</x:v>
      </x:c>
    </x:row>
    <x:row r="17" ht="40" customHeight="1">
      <x:c r="A17" s="3"/>
      <x:c r="B17" s="3" t="str">
        <x:v>边角清洁不净</x:v>
      </x:c>
      <x:c r="C17" s="9" t="n">
        <x:f>'结果索引'!H23</x:f>
        <x:v>0.37719298245614036</x:v>
      </x:c>
      <x:c r="D17" s="9" t="n">
        <x:f>'结果索引'!H24</x:f>
        <x:v>0.40350877192982454</x:v>
      </x:c>
      <x:c r="E17" s="9" t="n">
        <x:f>'结果索引'!H25</x:f>
        <x:v>0.3508771929824561</x:v>
      </x:c>
    </x:row>
    <x:row r="18" ht="40" customHeight="1">
      <x:c r="A18" s="8"/>
      <x:c r="B18" s="8" t="str">
        <x:v>噪音影响</x:v>
      </x:c>
      <x:c r="C18" s="10" t="n">
        <x:f>'结果索引'!H26</x:f>
        <x:v>0.21052631578947367</x:v>
      </x:c>
      <x:c r="D18" s="10" t="n">
        <x:f>'结果索引'!H27</x:f>
        <x:v>0.19298245614035087</x:v>
      </x:c>
      <x:c r="E18" s="10" t="n">
        <x:f>'结果索引'!H28</x:f>
        <x:v>0.22807017543859648</x:v>
      </x:c>
    </x:row>
    <x:row r="19" ht="40" customHeight="1">
      <x:c r="A19" s="3"/>
      <x:c r="B19" s="3" t="str">
        <x:v>清洗维护费时</x:v>
      </x:c>
      <x:c r="C19" s="9" t="n">
        <x:f>'结果索引'!H29</x:f>
        <x:v>0.34210526315789475</x:v>
      </x:c>
      <x:c r="D19" s="9" t="n">
        <x:f>'结果索引'!H30</x:f>
        <x:v>0.49122807017543857</x:v>
      </x:c>
      <x:c r="E19" s="9" t="n">
        <x:f>'结果索引'!H31</x:f>
        <x:v>0.19298245614035087</x:v>
      </x:c>
    </x:row>
    <x:row r="20" ht="40" customHeight="1">
      <x:c r="A20" s="11"/>
      <x:c r="B20" s="11" t="str">
        <x:v>总计</x:v>
      </x:c>
      <x:c r="C20" s="12" t="n">
        <x:f>SUM(C16:C19)</x:f>
        <x:v>1.412280701754386</x:v>
      </x:c>
      <x:c r="D20" s="12" t="n">
        <x:f>SUM(D16:D19)</x:f>
        <x:v>1.807017543859649</x:v>
      </x:c>
      <x:c r="E20" s="12" t="n">
        <x:f>SUM(E16:E19)</x:f>
        <x:v>1.0175438596491226</x:v>
      </x:c>
    </x:row>
    <x:row r="21" ht="40" customHeight="1">
      <x:c r="A21" s="14"/>
      <x:c r="B21" s="14" t="str">
        <x:v>样本量</x:v>
      </x:c>
      <x:c r="C21" s="15" t="n">
        <x:v>114</x:v>
      </x:c>
      <x:c r="D21" s="15" t="n">
        <x:v>57</x:v>
      </x:c>
      <x:c r="E21" s="15" t="n">
        <x:v>57</x:v>
      </x:c>
    </x:row>
    <x:row r="22" ht="29" customHeight="1">
      <x:c r="A22" s="8"/>
      <x:c r="B22" s="8"/>
      <x:c r="C22" s="8"/>
      <x:c r="D22" s="8"/>
      <x:c r="E22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3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9" customHeight="1">
      <x:c r="A1" s="3"/>
      <x:c r="B1" s="3"/>
      <x:c r="C1" s="3"/>
      <x:c r="D1" s="3"/>
      <x:c r="E1" s="3"/>
    </x:row>
    <x:row r="2" ht="36" customHeight="1">
      <x:c r="A2" s="5" t="str">
        <x:v>满意度与推荐 · 总体与家庭分组</x:v>
      </x:c>
      <x:c r="B2" s="3"/>
      <x:c r="C2" s="3"/>
      <x:c r="D2" s="3"/>
      <x:c r="E2" s="3"/>
    </x:row>
    <x:row r="3" ht="29" customHeight="1">
      <x:c r="A3" s="3"/>
      <x:c r="B3" s="3"/>
      <x:c r="C3" s="3"/>
      <x:c r="D3" s="3"/>
      <x:c r="E3" s="3"/>
    </x:row>
    <x:row r="4" ht="35" customHeight="1">
      <x:c r="A4" s="7" t="str">
        <x:v>题目</x:v>
      </x:c>
      <x:c r="B4" s="7" t="str">
        <x:v>选项／统计项</x:v>
      </x:c>
      <x:c r="C4" s="7" t="str">
        <x:v>总体</x:v>
      </x:c>
      <x:c r="D4" s="7" t="str">
        <x:v>养宠家庭</x:v>
      </x:c>
      <x:c r="E4" s="7" t="str">
        <x:v>无宠家庭</x:v>
      </x:c>
    </x:row>
    <x:row r="5" ht="40" customHeight="1">
      <x:c r="A5" s="3" t="str">
        <x:v>Q4 对现用机器人的总体满意度？</x:v>
      </x:c>
      <x:c r="B5" s="3" t="str">
        <x:v>非常不满意</x:v>
      </x:c>
      <x:c r="C5" s="9" t="n">
        <x:f>'结果索引'!H32</x:f>
        <x:v>0.14655172413793102</x:v>
      </x:c>
      <x:c r="D5" s="9" t="n">
        <x:f>'结果索引'!H33</x:f>
        <x:v>0.1896551724137931</x:v>
      </x:c>
      <x:c r="E5" s="9" t="n">
        <x:f>'结果索引'!H34</x:f>
        <x:v>0.10344827586206896</x:v>
      </x:c>
    </x:row>
    <x:row r="6" ht="40" customHeight="1">
      <x:c r="A6" s="8"/>
      <x:c r="B6" s="8" t="str">
        <x:v>比较不满意</x:v>
      </x:c>
      <x:c r="C6" s="10" t="n">
        <x:f>'结果索引'!H35</x:f>
        <x:v>0.12931034482758622</x:v>
      </x:c>
      <x:c r="D6" s="10" t="n">
        <x:f>'结果索引'!H36</x:f>
        <x:v>0.1896551724137931</x:v>
      </x:c>
      <x:c r="E6" s="10" t="n">
        <x:f>'结果索引'!H37</x:f>
        <x:v>0.06896551724137931</x:v>
      </x:c>
    </x:row>
    <x:row r="7" ht="40" customHeight="1">
      <x:c r="A7" s="3"/>
      <x:c r="B7" s="3" t="str">
        <x:v>一般</x:v>
      </x:c>
      <x:c r="C7" s="9" t="n">
        <x:f>'结果索引'!H38</x:f>
        <x:v>0.20689655172413793</x:v>
      </x:c>
      <x:c r="D7" s="9" t="n">
        <x:f>'结果索引'!H39</x:f>
        <x:v>0.20689655172413793</x:v>
      </x:c>
      <x:c r="E7" s="9" t="n">
        <x:f>'结果索引'!H40</x:f>
        <x:v>0.20689655172413793</x:v>
      </x:c>
    </x:row>
    <x:row r="8" ht="40" customHeight="1">
      <x:c r="A8" s="8"/>
      <x:c r="B8" s="8" t="str">
        <x:v>比较满意</x:v>
      </x:c>
      <x:c r="C8" s="10" t="n">
        <x:f>'结果索引'!H41</x:f>
        <x:v>0.3275862068965517</x:v>
      </x:c>
      <x:c r="D8" s="10" t="n">
        <x:f>'结果索引'!H42</x:f>
        <x:v>0.27586206896551724</x:v>
      </x:c>
      <x:c r="E8" s="10" t="n">
        <x:f>'结果索引'!H43</x:f>
        <x:v>0.3793103448275862</x:v>
      </x:c>
    </x:row>
    <x:row r="9" ht="40" customHeight="1">
      <x:c r="A9" s="3"/>
      <x:c r="B9" s="3" t="str">
        <x:v>非常满意</x:v>
      </x:c>
      <x:c r="C9" s="9" t="n">
        <x:f>'结果索引'!H44</x:f>
        <x:v>0.1896551724137931</x:v>
      </x:c>
      <x:c r="D9" s="9" t="n">
        <x:f>'结果索引'!H45</x:f>
        <x:v>0.13793103448275862</x:v>
      </x:c>
      <x:c r="E9" s="9" t="n">
        <x:f>'结果索引'!H46</x:f>
        <x:v>0.2413793103448276</x:v>
      </x:c>
    </x:row>
    <x:row r="10" ht="40" customHeight="1">
      <x:c r="A10" s="11"/>
      <x:c r="B10" s="11" t="str">
        <x:v>TOP2</x:v>
      </x:c>
      <x:c r="C10" s="12" t="n">
        <x:f>'结果索引'!H47</x:f>
        <x:v>0.5172413793103449</x:v>
      </x:c>
      <x:c r="D10" s="12" t="n">
        <x:f>'结果索引'!H48</x:f>
        <x:v>0.41379310344827586</x:v>
      </x:c>
      <x:c r="E10" s="12" t="n">
        <x:f>'结果索引'!H49</x:f>
        <x:v>0.6206896551724138</x:v>
      </x:c>
    </x:row>
    <x:row r="11" ht="40" customHeight="1">
      <x:c r="A11" s="11"/>
      <x:c r="B11" s="11" t="str">
        <x:v>均值</x:v>
      </x:c>
      <x:c r="C11" s="18" t="n">
        <x:f>'结果索引'!H50</x:f>
        <x:v>3.2844827586206895</x:v>
      </x:c>
      <x:c r="D11" s="18" t="n">
        <x:f>'结果索引'!H51</x:f>
        <x:v>2.9827586206896552</x:v>
      </x:c>
      <x:c r="E11" s="18" t="n">
        <x:f>'结果索引'!H52</x:f>
        <x:v>3.586206896551724</x:v>
      </x:c>
    </x:row>
    <x:row r="12" ht="40" customHeight="1">
      <x:c r="A12" s="11"/>
      <x:c r="B12" s="11" t="str">
        <x:v>总计</x:v>
      </x:c>
      <x:c r="C12" s="12" t="n">
        <x:f>SUM(C5:C9)</x:f>
        <x:v>1</x:v>
      </x:c>
      <x:c r="D12" s="12" t="n">
        <x:f>SUM(D5:D9)</x:f>
        <x:v>1</x:v>
      </x:c>
      <x:c r="E12" s="12" t="n">
        <x:f>SUM(E5:E9)</x:f>
        <x:v>1</x:v>
      </x:c>
    </x:row>
    <x:row r="13" ht="40" customHeight="1">
      <x:c r="A13" s="14"/>
      <x:c r="B13" s="14" t="str">
        <x:v>样本量</x:v>
      </x:c>
      <x:c r="C13" s="15" t="n">
        <x:v>116</x:v>
      </x:c>
      <x:c r="D13" s="15" t="n">
        <x:v>58</x:v>
      </x:c>
      <x:c r="E13" s="15" t="n">
        <x:v>58</x:v>
      </x:c>
    </x:row>
    <x:row r="14" ht="29" customHeight="1">
      <x:c r="A14" s="8"/>
      <x:c r="B14" s="8"/>
      <x:c r="C14" s="8"/>
      <x:c r="D14" s="8"/>
      <x:c r="E14" s="8"/>
    </x:row>
    <x:row r="15" ht="40" customHeight="1">
      <x:c r="A15" s="3" t="str">
        <x:v>Q5 过去半年是否联系过售后？</x:v>
      </x:c>
      <x:c r="B15" s="3" t="str">
        <x:v>联系过</x:v>
      </x:c>
      <x:c r="C15" s="9" t="n">
        <x:f>'结果索引'!H53</x:f>
        <x:v>0.25</x:v>
      </x:c>
      <x:c r="D15" s="9" t="n">
        <x:f>'结果索引'!H54</x:f>
        <x:v>0.25</x:v>
      </x:c>
      <x:c r="E15" s="9" t="n">
        <x:f>'结果索引'!H55</x:f>
        <x:v>0.25</x:v>
      </x:c>
    </x:row>
    <x:row r="16" ht="40" customHeight="1">
      <x:c r="A16" s="8"/>
      <x:c r="B16" s="8" t="str">
        <x:v>没有</x:v>
      </x:c>
      <x:c r="C16" s="10" t="n">
        <x:f>'结果索引'!H56</x:f>
        <x:v>0.75</x:v>
      </x:c>
      <x:c r="D16" s="10" t="n">
        <x:f>'结果索引'!H57</x:f>
        <x:v>0.75</x:v>
      </x:c>
      <x:c r="E16" s="10" t="n">
        <x:f>'结果索引'!H58</x:f>
        <x:v>0.75</x:v>
      </x:c>
    </x:row>
    <x:row r="17" ht="40" customHeight="1">
      <x:c r="A17" s="11"/>
      <x:c r="B17" s="11" t="str">
        <x:v>总计</x:v>
      </x:c>
      <x:c r="C17" s="12" t="n">
        <x:f>SUM(C15:C16)</x:f>
        <x:v>1</x:v>
      </x:c>
      <x:c r="D17" s="12" t="n">
        <x:f>SUM(D15:D16)</x:f>
        <x:v>1</x:v>
      </x:c>
      <x:c r="E17" s="12" t="n">
        <x:f>SUM(E15:E16)</x:f>
        <x:v>1</x:v>
      </x:c>
    </x:row>
    <x:row r="18" ht="40" customHeight="1">
      <x:c r="A18" s="14"/>
      <x:c r="B18" s="14" t="str">
        <x:v>样本量</x:v>
      </x:c>
      <x:c r="C18" s="15" t="n">
        <x:v>120</x:v>
      </x:c>
      <x:c r="D18" s="15" t="n">
        <x:v>60</x:v>
      </x:c>
      <x:c r="E18" s="15" t="n">
        <x:v>60</x:v>
      </x:c>
    </x:row>
    <x:row r="19" ht="29" customHeight="1">
      <x:c r="A19" s="3"/>
      <x:c r="B19" s="3"/>
      <x:c r="C19" s="3"/>
      <x:c r="D19" s="3"/>
      <x:c r="E19" s="3"/>
    </x:row>
    <x:row r="20" ht="40" customHeight="1">
      <x:c r="A20" s="8" t="str">
        <x:v>Q6 对最近一次售后服务的满意度？</x:v>
      </x:c>
      <x:c r="B20" s="8" t="str">
        <x:v>非常不满意</x:v>
      </x:c>
      <x:c r="C20" s="10" t="n">
        <x:f>'结果索引'!H59</x:f>
        <x:v>0</x:v>
      </x:c>
      <x:c r="D20" s="10" t="n">
        <x:f>'结果索引'!H60</x:f>
        <x:v>0</x:v>
      </x:c>
      <x:c r="E20" s="10" t="n">
        <x:f>'结果索引'!H61</x:f>
        <x:v>0</x:v>
      </x:c>
    </x:row>
    <x:row r="21" ht="40" customHeight="1">
      <x:c r="A21" s="3"/>
      <x:c r="B21" s="3" t="str">
        <x:v>比较不满意</x:v>
      </x:c>
      <x:c r="C21" s="9" t="n">
        <x:f>'结果索引'!H62</x:f>
        <x:v>0.32142857142857145</x:v>
      </x:c>
      <x:c r="D21" s="9" t="n">
        <x:f>'结果索引'!H63</x:f>
        <x:v>0.46153846153846156</x:v>
      </x:c>
      <x:c r="E21" s="9" t="n">
        <x:f>'结果索引'!H64</x:f>
        <x:v>0.2</x:v>
      </x:c>
    </x:row>
    <x:row r="22" ht="40" customHeight="1">
      <x:c r="A22" s="8"/>
      <x:c r="B22" s="8" t="str">
        <x:v>一般</x:v>
      </x:c>
      <x:c r="C22" s="10" t="n">
        <x:f>'结果索引'!H65</x:f>
        <x:v>0.25</x:v>
      </x:c>
      <x:c r="D22" s="10" t="n">
        <x:f>'结果索引'!H66</x:f>
        <x:v>0.15384615384615385</x:v>
      </x:c>
      <x:c r="E22" s="10" t="n">
        <x:f>'结果索引'!H67</x:f>
        <x:v>0.3333333333333333</x:v>
      </x:c>
    </x:row>
    <x:row r="23" ht="40" customHeight="1">
      <x:c r="A23" s="3"/>
      <x:c r="B23" s="3" t="str">
        <x:v>比较满意</x:v>
      </x:c>
      <x:c r="C23" s="9" t="n">
        <x:f>'结果索引'!H68</x:f>
        <x:v>0.07142857142857142</x:v>
      </x:c>
      <x:c r="D23" s="9" t="n">
        <x:f>'结果索引'!H69</x:f>
        <x:v>0.07692307692307693</x:v>
      </x:c>
      <x:c r="E23" s="9" t="n">
        <x:f>'结果索引'!H70</x:f>
        <x:v>0.06666666666666667</x:v>
      </x:c>
    </x:row>
    <x:row r="24" ht="40" customHeight="1">
      <x:c r="A24" s="8"/>
      <x:c r="B24" s="8" t="str">
        <x:v>非常满意</x:v>
      </x:c>
      <x:c r="C24" s="10" t="n">
        <x:f>'结果索引'!H71</x:f>
        <x:v>0.35714285714285715</x:v>
      </x:c>
      <x:c r="D24" s="10" t="n">
        <x:f>'结果索引'!H72</x:f>
        <x:v>0.3076923076923077</x:v>
      </x:c>
      <x:c r="E24" s="10" t="n">
        <x:f>'结果索引'!H73</x:f>
        <x:v>0.4</x:v>
      </x:c>
    </x:row>
    <x:row r="25" ht="40" customHeight="1">
      <x:c r="A25" s="11"/>
      <x:c r="B25" s="11" t="str">
        <x:v>TOP2</x:v>
      </x:c>
      <x:c r="C25" s="12" t="n">
        <x:f>'结果索引'!H74</x:f>
        <x:v>0.42857142857142855</x:v>
      </x:c>
      <x:c r="D25" s="12" t="n">
        <x:f>'结果索引'!H75</x:f>
        <x:v>0.38461538461538464</x:v>
      </x:c>
      <x:c r="E25" s="12" t="n">
        <x:f>'结果索引'!H76</x:f>
        <x:v>0.4666666666666667</x:v>
      </x:c>
    </x:row>
    <x:row r="26" ht="40" customHeight="1">
      <x:c r="A26" s="11"/>
      <x:c r="B26" s="11" t="str">
        <x:v>均值</x:v>
      </x:c>
      <x:c r="C26" s="18" t="n">
        <x:f>'结果索引'!H77</x:f>
        <x:v>3.4642857142857144</x:v>
      </x:c>
      <x:c r="D26" s="18" t="n">
        <x:f>'结果索引'!H78</x:f>
        <x:v>3.230769230769231</x:v>
      </x:c>
      <x:c r="E26" s="18" t="n">
        <x:f>'结果索引'!H79</x:f>
        <x:v>3.6666666666666665</x:v>
      </x:c>
    </x:row>
    <x:row r="27" ht="40" customHeight="1">
      <x:c r="A27" s="11"/>
      <x:c r="B27" s="11" t="str">
        <x:v>总计</x:v>
      </x:c>
      <x:c r="C27" s="12" t="n">
        <x:f>SUM(C20:C24)</x:f>
        <x:v>1</x:v>
      </x:c>
      <x:c r="D27" s="12" t="n">
        <x:f>SUM(D20:D24)</x:f>
        <x:v>1</x:v>
      </x:c>
      <x:c r="E27" s="12" t="n">
        <x:f>SUM(E20:E24)</x:f>
        <x:v>1</x:v>
      </x:c>
    </x:row>
    <x:row r="28" ht="40" customHeight="1">
      <x:c r="A28" s="14"/>
      <x:c r="B28" s="14" t="str">
        <x:v>样本量</x:v>
      </x:c>
      <x:c r="C28" s="15" t="n">
        <x:v>28</x:v>
      </x:c>
      <x:c r="D28" s="15" t="n">
        <x:v>13</x:v>
      </x:c>
      <x:c r="E28" s="15" t="n">
        <x:v>15</x:v>
      </x:c>
    </x:row>
    <x:row r="29" ht="29" customHeight="1">
      <x:c r="A29" s="3"/>
      <x:c r="B29" s="3"/>
      <x:c r="C29" s="3"/>
      <x:c r="D29" s="3"/>
      <x:c r="E29" s="3"/>
    </x:row>
    <x:row r="30" ht="40" customHeight="1">
      <x:c r="A30" s="8" t="str">
        <x:v>Q7 向亲友推荐现用机器人的意愿？</x:v>
      </x:c>
      <x:c r="B30" s="8" t="str">
        <x:v>0分</x:v>
      </x:c>
      <x:c r="C30" s="10" t="n">
        <x:f>'结果索引'!H80</x:f>
        <x:v>0.043478260869565216</x:v>
      </x:c>
      <x:c r="D30" s="10" t="n">
        <x:f>'结果索引'!H81</x:f>
        <x:v>0.07017543859649122</x:v>
      </x:c>
      <x:c r="E30" s="10" t="n">
        <x:f>'结果索引'!H82</x:f>
        <x:v>0.017241379310344827</x:v>
      </x:c>
    </x:row>
    <x:row r="31" ht="40" customHeight="1">
      <x:c r="A31" s="3"/>
      <x:c r="B31" s="3" t="str">
        <x:v>1分</x:v>
      </x:c>
      <x:c r="C31" s="9" t="n">
        <x:f>'结果索引'!H83</x:f>
        <x:v>0.02608695652173913</x:v>
      </x:c>
      <x:c r="D31" s="9" t="n">
        <x:f>'结果索引'!H84</x:f>
        <x:v>0.03508771929824561</x:v>
      </x:c>
      <x:c r="E31" s="9" t="n">
        <x:f>'结果索引'!H85</x:f>
        <x:v>0.017241379310344827</x:v>
      </x:c>
    </x:row>
    <x:row r="32" ht="40" customHeight="1">
      <x:c r="A32" s="8"/>
      <x:c r="B32" s="8" t="str">
        <x:v>2分</x:v>
      </x:c>
      <x:c r="C32" s="10" t="n">
        <x:f>'结果索引'!H86</x:f>
        <x:v>0.034782608695652174</x:v>
      </x:c>
      <x:c r="D32" s="10" t="n">
        <x:f>'结果索引'!H87</x:f>
        <x:v>0.05263157894736842</x:v>
      </x:c>
      <x:c r="E32" s="10" t="n">
        <x:f>'结果索引'!H88</x:f>
        <x:v>0.017241379310344827</x:v>
      </x:c>
    </x:row>
    <x:row r="33" ht="40" customHeight="1">
      <x:c r="A33" s="3"/>
      <x:c r="B33" s="3" t="str">
        <x:v>3分</x:v>
      </x:c>
      <x:c r="C33" s="9" t="n">
        <x:f>'结果索引'!H89</x:f>
        <x:v>0.06956521739130435</x:v>
      </x:c>
      <x:c r="D33" s="9" t="n">
        <x:f>'结果索引'!H90</x:f>
        <x:v>0.03508771929824561</x:v>
      </x:c>
      <x:c r="E33" s="9" t="n">
        <x:f>'结果索引'!H91</x:f>
        <x:v>0.10344827586206896</x:v>
      </x:c>
    </x:row>
    <x:row r="34" ht="40" customHeight="1">
      <x:c r="A34" s="8"/>
      <x:c r="B34" s="8" t="str">
        <x:v>4分</x:v>
      </x:c>
      <x:c r="C34" s="10" t="n">
        <x:f>'结果索引'!H92</x:f>
        <x:v>0.09565217391304348</x:v>
      </x:c>
      <x:c r="D34" s="10" t="n">
        <x:f>'结果索引'!H93</x:f>
        <x:v>0.07017543859649122</x:v>
      </x:c>
      <x:c r="E34" s="10" t="n">
        <x:f>'结果索引'!H94</x:f>
        <x:v>0.1206896551724138</x:v>
      </x:c>
    </x:row>
    <x:row r="35" ht="40" customHeight="1">
      <x:c r="A35" s="3"/>
      <x:c r="B35" s="3" t="str">
        <x:v>5分</x:v>
      </x:c>
      <x:c r="C35" s="9" t="n">
        <x:f>'结果索引'!H95</x:f>
        <x:v>0.11304347826086956</x:v>
      </x:c>
      <x:c r="D35" s="9" t="n">
        <x:f>'结果索引'!H96</x:f>
        <x:v>0.07017543859649122</x:v>
      </x:c>
      <x:c r="E35" s="9" t="n">
        <x:f>'结果索引'!H97</x:f>
        <x:v>0.15517241379310345</x:v>
      </x:c>
    </x:row>
    <x:row r="36" ht="40" customHeight="1">
      <x:c r="A36" s="8"/>
      <x:c r="B36" s="8" t="str">
        <x:v>6分</x:v>
      </x:c>
      <x:c r="C36" s="10" t="n">
        <x:f>'结果索引'!H98</x:f>
        <x:v>0.09565217391304348</x:v>
      </x:c>
      <x:c r="D36" s="10" t="n">
        <x:f>'结果索引'!H99</x:f>
        <x:v>0.12280701754385964</x:v>
      </x:c>
      <x:c r="E36" s="10" t="n">
        <x:f>'结果索引'!H100</x:f>
        <x:v>0.06896551724137931</x:v>
      </x:c>
    </x:row>
    <x:row r="37" ht="40" customHeight="1">
      <x:c r="A37" s="3"/>
      <x:c r="B37" s="3" t="str">
        <x:v>7分</x:v>
      </x:c>
      <x:c r="C37" s="9" t="n">
        <x:f>'结果索引'!H101</x:f>
        <x:v>0.16521739130434782</x:v>
      </x:c>
      <x:c r="D37" s="9" t="n">
        <x:f>'结果索引'!H102</x:f>
        <x:v>0.17543859649122806</x:v>
      </x:c>
      <x:c r="E37" s="9" t="n">
        <x:f>'结果索引'!H103</x:f>
        <x:v>0.15517241379310345</x:v>
      </x:c>
    </x:row>
    <x:row r="38" ht="40" customHeight="1">
      <x:c r="A38" s="8"/>
      <x:c r="B38" s="8" t="str">
        <x:v>8分</x:v>
      </x:c>
      <x:c r="C38" s="10" t="n">
        <x:f>'结果索引'!H104</x:f>
        <x:v>0.2</x:v>
      </x:c>
      <x:c r="D38" s="10" t="n">
        <x:f>'结果索引'!H105</x:f>
        <x:v>0.24561403508771928</x:v>
      </x:c>
      <x:c r="E38" s="10" t="n">
        <x:f>'结果索引'!H106</x:f>
        <x:v>0.15517241379310345</x:v>
      </x:c>
    </x:row>
    <x:row r="39" ht="40" customHeight="1">
      <x:c r="A39" s="3"/>
      <x:c r="B39" s="3" t="str">
        <x:v>9分</x:v>
      </x:c>
      <x:c r="C39" s="9" t="n">
        <x:f>'结果索引'!H107</x:f>
        <x:v>0.09565217391304348</x:v>
      </x:c>
      <x:c r="D39" s="9" t="n">
        <x:f>'结果索引'!H108</x:f>
        <x:v>0.07017543859649122</x:v>
      </x:c>
      <x:c r="E39" s="9" t="n">
        <x:f>'结果索引'!H109</x:f>
        <x:v>0.1206896551724138</x:v>
      </x:c>
    </x:row>
    <x:row r="40" ht="40" customHeight="1">
      <x:c r="A40" s="8"/>
      <x:c r="B40" s="8" t="str">
        <x:v>10分</x:v>
      </x:c>
      <x:c r="C40" s="10" t="n">
        <x:f>'结果索引'!H110</x:f>
        <x:v>0.06086956521739131</x:v>
      </x:c>
      <x:c r="D40" s="10" t="n">
        <x:f>'结果索引'!H111</x:f>
        <x:v>0.05263157894736842</x:v>
      </x:c>
      <x:c r="E40" s="10" t="n">
        <x:f>'结果索引'!H112</x:f>
        <x:v>0.06896551724137931</x:v>
      </x:c>
    </x:row>
    <x:row r="41" ht="40" customHeight="1">
      <x:c r="A41" s="11"/>
      <x:c r="B41" s="11" t="str">
        <x:v>NPS</x:v>
      </x:c>
      <x:c r="C41" s="21" t="n">
        <x:f>'结果索引'!H113</x:f>
        <x:v>-32.17391304347826</x:v>
      </x:c>
      <x:c r="D41" s="21" t="n">
        <x:f>'结果索引'!H114</x:f>
        <x:v>-33.33333333333333</x:v>
      </x:c>
      <x:c r="E41" s="21" t="n">
        <x:f>'结果索引'!H115</x:f>
        <x:v>-31.03448275862069</x:v>
      </x:c>
    </x:row>
    <x:row r="42" ht="40" customHeight="1">
      <x:c r="A42" s="11"/>
      <x:c r="B42" s="11" t="str">
        <x:v>总计</x:v>
      </x:c>
      <x:c r="C42" s="12" t="n">
        <x:f>SUM(C30:C40)</x:f>
        <x:v>1</x:v>
      </x:c>
      <x:c r="D42" s="12" t="n">
        <x:f>SUM(D30:D40)</x:f>
        <x:v>1</x:v>
      </x:c>
      <x:c r="E42" s="12" t="n">
        <x:f>SUM(E30:E40)</x:f>
        <x:v>1</x:v>
      </x:c>
    </x:row>
    <x:row r="43" ht="40" customHeight="1">
      <x:c r="A43" s="14"/>
      <x:c r="B43" s="14" t="str">
        <x:v>样本量</x:v>
      </x:c>
      <x:c r="C43" s="15" t="n">
        <x:v>115</x:v>
      </x:c>
      <x:c r="D43" s="15" t="n">
        <x:v>57</x:v>
      </x:c>
      <x:c r="E43" s="15" t="n">
        <x:v>58</x:v>
      </x:c>
    </x:row>
    <x:row r="44" ht="29" customHeight="1">
      <x:c r="A44" s="8"/>
      <x:c r="B44" s="8"/>
      <x:c r="C44" s="8"/>
      <x:c r="D44" s="8"/>
      <x:c r="E44" s="8"/>
    </x:row>
    <x:row r="45" ht="40" customHeight="1">
      <x:c r="A45" s="3" t="str">
        <x:v>Q8 体验前对新产品的购买兴趣？</x:v>
      </x:c>
      <x:c r="B45" s="3" t="str">
        <x:v>1分</x:v>
      </x:c>
      <x:c r="C45" s="9" t="n">
        <x:f>'结果索引'!H116</x:f>
        <x:v>0.13333333333333333</x:v>
      </x:c>
      <x:c r="D45" s="9" t="n">
        <x:f>'结果索引'!H117</x:f>
        <x:v>0.15</x:v>
      </x:c>
      <x:c r="E45" s="9" t="n">
        <x:f>'结果索引'!H118</x:f>
        <x:v>0.11666666666666667</x:v>
      </x:c>
    </x:row>
    <x:row r="46" ht="40" customHeight="1">
      <x:c r="A46" s="8"/>
      <x:c r="B46" s="8" t="str">
        <x:v>2分</x:v>
      </x:c>
      <x:c r="C46" s="10" t="n">
        <x:f>'结果索引'!H119</x:f>
        <x:v>0.21666666666666667</x:v>
      </x:c>
      <x:c r="D46" s="10" t="n">
        <x:f>'结果索引'!H120</x:f>
        <x:v>0.23333333333333334</x:v>
      </x:c>
      <x:c r="E46" s="10" t="n">
        <x:f>'结果索引'!H121</x:f>
        <x:v>0.2</x:v>
      </x:c>
    </x:row>
    <x:row r="47" ht="40" customHeight="1">
      <x:c r="A47" s="3"/>
      <x:c r="B47" s="3" t="str">
        <x:v>3分</x:v>
      </x:c>
      <x:c r="C47" s="9" t="n">
        <x:f>'结果索引'!H122</x:f>
        <x:v>0.375</x:v>
      </x:c>
      <x:c r="D47" s="9" t="n">
        <x:f>'结果索引'!H123</x:f>
        <x:v>0.31666666666666665</x:v>
      </x:c>
      <x:c r="E47" s="9" t="n">
        <x:f>'结果索引'!H124</x:f>
        <x:v>0.43333333333333335</x:v>
      </x:c>
    </x:row>
    <x:row r="48" ht="40" customHeight="1">
      <x:c r="A48" s="8"/>
      <x:c r="B48" s="8" t="str">
        <x:v>4分</x:v>
      </x:c>
      <x:c r="C48" s="10" t="n">
        <x:f>'结果索引'!H125</x:f>
        <x:v>0.19166666666666668</x:v>
      </x:c>
      <x:c r="D48" s="10" t="n">
        <x:f>'结果索引'!H126</x:f>
        <x:v>0.2</x:v>
      </x:c>
      <x:c r="E48" s="10" t="n">
        <x:f>'结果索引'!H127</x:f>
        <x:v>0.18333333333333332</x:v>
      </x:c>
    </x:row>
    <x:row r="49" ht="40" customHeight="1">
      <x:c r="A49" s="3"/>
      <x:c r="B49" s="3" t="str">
        <x:v>5分</x:v>
      </x:c>
      <x:c r="C49" s="9" t="n">
        <x:f>'结果索引'!H128</x:f>
        <x:v>0.08333333333333333</x:v>
      </x:c>
      <x:c r="D49" s="9" t="n">
        <x:f>'结果索引'!H129</x:f>
        <x:v>0.1</x:v>
      </x:c>
      <x:c r="E49" s="9" t="n">
        <x:f>'结果索引'!H130</x:f>
        <x:v>0.06666666666666667</x:v>
      </x:c>
    </x:row>
    <x:row r="50" ht="40" customHeight="1">
      <x:c r="A50" s="11"/>
      <x:c r="B50" s="11" t="str">
        <x:v>TOP2</x:v>
      </x:c>
      <x:c r="C50" s="12" t="n">
        <x:f>'结果索引'!H131</x:f>
        <x:v>0.275</x:v>
      </x:c>
      <x:c r="D50" s="12" t="n">
        <x:f>'结果索引'!H132</x:f>
        <x:v>0.3</x:v>
      </x:c>
      <x:c r="E50" s="12" t="n">
        <x:f>'结果索引'!H133</x:f>
        <x:v>0.25</x:v>
      </x:c>
    </x:row>
    <x:row r="51" ht="40" customHeight="1">
      <x:c r="A51" s="11"/>
      <x:c r="B51" s="11" t="str">
        <x:v>均值</x:v>
      </x:c>
      <x:c r="C51" s="18" t="n">
        <x:f>'结果索引'!H134</x:f>
        <x:v>2.875</x:v>
      </x:c>
      <x:c r="D51" s="18" t="n">
        <x:f>'结果索引'!H135</x:f>
        <x:v>2.8666666666666667</x:v>
      </x:c>
      <x:c r="E51" s="18" t="n">
        <x:f>'结果索引'!H136</x:f>
        <x:v>2.8833333333333333</x:v>
      </x:c>
    </x:row>
    <x:row r="52" ht="40" customHeight="1">
      <x:c r="A52" s="11"/>
      <x:c r="B52" s="11" t="str">
        <x:v>总计</x:v>
      </x:c>
      <x:c r="C52" s="12" t="n">
        <x:f>SUM(C45:C49)</x:f>
        <x:v>1</x:v>
      </x:c>
      <x:c r="D52" s="12" t="n">
        <x:f>SUM(D45:D49)</x:f>
        <x:v>0.9999999999999999</x:v>
      </x:c>
      <x:c r="E52" s="12" t="n">
        <x:f>SUM(E45:E49)</x:f>
        <x:v>1</x:v>
      </x:c>
    </x:row>
    <x:row r="53" ht="40" customHeight="1">
      <x:c r="A53" s="14"/>
      <x:c r="B53" s="14" t="str">
        <x:v>样本量</x:v>
      </x:c>
      <x:c r="C53" s="15" t="n">
        <x:v>120</x:v>
      </x:c>
      <x:c r="D53" s="15" t="n">
        <x:v>60</x:v>
      </x:c>
      <x:c r="E53" s="15" t="n">
        <x:v>60</x:v>
      </x:c>
    </x:row>
    <x:row r="54" ht="29" customHeight="1">
      <x:c r="A54" s="8"/>
      <x:c r="B54" s="8"/>
      <x:c r="C54" s="8"/>
      <x:c r="D54" s="8"/>
      <x:c r="E54" s="8"/>
    </x:row>
    <x:row r="55" ht="40" customHeight="1">
      <x:c r="A55" s="3" t="str">
        <x:v>Q9 体验后对新产品的购买兴趣？</x:v>
      </x:c>
      <x:c r="B55" s="3" t="str">
        <x:v>1分</x:v>
      </x:c>
      <x:c r="C55" s="9" t="n">
        <x:f>'结果索引'!H137</x:f>
        <x:v>0.11403508771929824</x:v>
      </x:c>
      <x:c r="D55" s="9" t="n">
        <x:f>'结果索引'!H138</x:f>
        <x:v>0.10526315789473684</x:v>
      </x:c>
      <x:c r="E55" s="9" t="n">
        <x:f>'结果索引'!H139</x:f>
        <x:v>0.12280701754385964</x:v>
      </x:c>
    </x:row>
    <x:row r="56" ht="40" customHeight="1">
      <x:c r="A56" s="8"/>
      <x:c r="B56" s="8" t="str">
        <x:v>2分</x:v>
      </x:c>
      <x:c r="C56" s="10" t="n">
        <x:f>'结果索引'!H140</x:f>
        <x:v>0.14035087719298245</x:v>
      </x:c>
      <x:c r="D56" s="10" t="n">
        <x:f>'结果索引'!H141</x:f>
        <x:v>0.15789473684210525</x:v>
      </x:c>
      <x:c r="E56" s="10" t="n">
        <x:f>'结果索引'!H142</x:f>
        <x:v>0.12280701754385964</x:v>
      </x:c>
    </x:row>
    <x:row r="57" ht="40" customHeight="1">
      <x:c r="A57" s="3"/>
      <x:c r="B57" s="3" t="str">
        <x:v>3分</x:v>
      </x:c>
      <x:c r="C57" s="9" t="n">
        <x:f>'结果索引'!H143</x:f>
        <x:v>0.21929824561403508</x:v>
      </x:c>
      <x:c r="D57" s="9" t="n">
        <x:f>'结果索引'!H144</x:f>
        <x:v>0.21052631578947367</x:v>
      </x:c>
      <x:c r="E57" s="9" t="n">
        <x:f>'结果索引'!H145</x:f>
        <x:v>0.22807017543859648</x:v>
      </x:c>
    </x:row>
    <x:row r="58" ht="40" customHeight="1">
      <x:c r="A58" s="8"/>
      <x:c r="B58" s="8" t="str">
        <x:v>4分</x:v>
      </x:c>
      <x:c r="C58" s="10" t="n">
        <x:f>'结果索引'!H146</x:f>
        <x:v>0.32456140350877194</x:v>
      </x:c>
      <x:c r="D58" s="10" t="n">
        <x:f>'结果索引'!H147</x:f>
        <x:v>0.3508771929824561</x:v>
      </x:c>
      <x:c r="E58" s="10" t="n">
        <x:f>'结果索引'!H148</x:f>
        <x:v>0.2982456140350877</x:v>
      </x:c>
    </x:row>
    <x:row r="59" ht="40" customHeight="1">
      <x:c r="A59" s="3"/>
      <x:c r="B59" s="3" t="str">
        <x:v>5分</x:v>
      </x:c>
      <x:c r="C59" s="9" t="n">
        <x:f>'结果索引'!H149</x:f>
        <x:v>0.20175438596491227</x:v>
      </x:c>
      <x:c r="D59" s="9" t="n">
        <x:f>'结果索引'!H150</x:f>
        <x:v>0.17543859649122806</x:v>
      </x:c>
      <x:c r="E59" s="9" t="n">
        <x:f>'结果索引'!H151</x:f>
        <x:v>0.22807017543859648</x:v>
      </x:c>
    </x:row>
    <x:row r="60" ht="40" customHeight="1">
      <x:c r="A60" s="11"/>
      <x:c r="B60" s="11" t="str">
        <x:v>TOP2</x:v>
      </x:c>
      <x:c r="C60" s="12" t="n">
        <x:f>'结果索引'!H152</x:f>
        <x:v>0.5263157894736842</x:v>
      </x:c>
      <x:c r="D60" s="12" t="n">
        <x:f>'结果索引'!H153</x:f>
        <x:v>0.5263157894736842</x:v>
      </x:c>
      <x:c r="E60" s="12" t="n">
        <x:f>'结果索引'!H154</x:f>
        <x:v>0.5263157894736842</x:v>
      </x:c>
    </x:row>
    <x:row r="61" ht="40" customHeight="1">
      <x:c r="A61" s="11"/>
      <x:c r="B61" s="11" t="str">
        <x:v>均值</x:v>
      </x:c>
      <x:c r="C61" s="18" t="n">
        <x:f>'结果索引'!H155</x:f>
        <x:v>3.3596491228070176</x:v>
      </x:c>
      <x:c r="D61" s="18" t="n">
        <x:f>'结果索引'!H156</x:f>
        <x:v>3.3333333333333335</x:v>
      </x:c>
      <x:c r="E61" s="18" t="n">
        <x:f>'结果索引'!H157</x:f>
        <x:v>3.3859649122807016</x:v>
      </x:c>
    </x:row>
    <x:row r="62" ht="40" customHeight="1">
      <x:c r="A62" s="11"/>
      <x:c r="B62" s="11" t="str">
        <x:v>总计</x:v>
      </x:c>
      <x:c r="C62" s="12" t="n">
        <x:f>SUM(C55:C59)</x:f>
        <x:v>1</x:v>
      </x:c>
      <x:c r="D62" s="12" t="n">
        <x:f>SUM(D55:D59)</x:f>
        <x:v>0.9999999999999999</x:v>
      </x:c>
      <x:c r="E62" s="12" t="n">
        <x:f>SUM(E55:E59)</x:f>
        <x:v>1</x:v>
      </x:c>
    </x:row>
    <x:row r="63" ht="40" customHeight="1">
      <x:c r="A63" s="14"/>
      <x:c r="B63" s="14" t="str">
        <x:v>样本量</x:v>
      </x:c>
      <x:c r="C63" s="15" t="n">
        <x:v>114</x:v>
      </x:c>
      <x:c r="D63" s="15" t="n">
        <x:v>57</x:v>
      </x:c>
      <x:c r="E63" s="15" t="n">
        <x:v>57</x:v>
      </x:c>
    </x:row>
    <x:row r="64" ht="29" customHeight="1">
      <x:c r="A64" s="8"/>
      <x:c r="B64" s="8"/>
      <x:c r="C64" s="8"/>
      <x:c r="D64" s="8"/>
      <x:c r="E64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94" hidden="0" customWidth="1"/>
  </x:cols>
  <x:sheetData>
    <x:row r="1" ht="29" customHeight="1">
      <x:c r="A1" s="3"/>
      <x:c r="B1" s="3"/>
    </x:row>
    <x:row r="2" ht="36" customHeight="1">
      <x:c r="A2" s="5" t="str">
        <x:v>体验前后 · 配对变化</x:v>
      </x:c>
      <x:c r="B2" s="3"/>
    </x:row>
    <x:row r="3" ht="29" customHeight="1">
      <x:c r="A3" s="3"/>
      <x:c r="B3" s="3"/>
    </x:row>
    <x:row r="4" ht="35" customHeight="1">
      <x:c r="A4" s="7" t="str">
        <x:v>项目</x:v>
      </x:c>
      <x:c r="B4" s="7" t="str">
        <x:v>结果</x:v>
      </x:c>
    </x:row>
    <x:row r="5" ht="29" customHeight="1">
      <x:c r="A5" s="3" t="str">
        <x:v>比较对象</x:v>
      </x:c>
      <x:c r="B5" s="3" t="str">
        <x:v>同一人Q8体验前与Q9体验后购买兴趣TOP2</x:v>
      </x:c>
    </x:row>
    <x:row r="6" ht="29" customHeight="1">
      <x:c r="A6" s="8" t="str">
        <x:v>有效配对数</x:v>
      </x:c>
      <x:c r="B6" s="8" t="n">
        <x:v>114</x:v>
      </x:c>
    </x:row>
    <x:row r="7" ht="29" customHeight="1">
      <x:c r="A7" s="3" t="str">
        <x:v>体验前TOP2</x:v>
      </x:c>
      <x:c r="B7" s="9" t="n">
        <x:v>0.2719298245614035</x:v>
      </x:c>
    </x:row>
    <x:row r="8" ht="29" customHeight="1">
      <x:c r="A8" s="8" t="str">
        <x:v>体验后TOP2</x:v>
      </x:c>
      <x:c r="B8" s="10" t="n">
        <x:v>0.5263157894736842</x:v>
      </x:c>
    </x:row>
    <x:row r="9" ht="29" customHeight="1">
      <x:c r="A9" s="3" t="str">
        <x:v>未进TOP2→进入TOP2</x:v>
      </x:c>
      <x:c r="B9" s="3" t="n">
        <x:v>31</x:v>
      </x:c>
    </x:row>
    <x:row r="10" ht="29" customHeight="1">
      <x:c r="A10" s="8" t="str">
        <x:v>TOP2→退出TOP2</x:v>
      </x:c>
      <x:c r="B10" s="8" t="n">
        <x:v>2</x:v>
      </x:c>
    </x:row>
    <x:row r="11" ht="29" customHeight="1">
      <x:c r="A11" s="3" t="str">
        <x:v>净变化（百分点）</x:v>
      </x:c>
      <x:c r="B11" s="20" t="n">
        <x:v>25.438596491228072</x:v>
      </x:c>
    </x:row>
    <x:row r="12" ht="29" customHeight="1">
      <x:c r="A12" s="8" t="str">
        <x:v>95%区间下限（百分点）</x:v>
      </x:c>
      <x:c r="B12" s="22" t="n">
        <x:v>16.697421864653876</x:v>
      </x:c>
    </x:row>
    <x:row r="13" ht="29" customHeight="1">
      <x:c r="A13" s="3" t="str">
        <x:v>95%区间上限（百分点）</x:v>
      </x:c>
      <x:c r="B13" s="20" t="n">
        <x:v>34.17977111780227</x:v>
      </x:c>
    </x:row>
    <x:row r="14" ht="29" customHeight="1">
      <x:c r="A14" s="8" t="str">
        <x:v>原始p值</x:v>
      </x:c>
      <x:c r="B14" s="23" t="n">
        <x:v>1.3085082173347473e-7</x:v>
      </x:c>
    </x:row>
    <x:row r="15" ht="29" customHeight="1">
      <x:c r="A15" s="3" t="str">
        <x:v>校正p值（仅1项检验）</x:v>
      </x:c>
      <x:c r="B15" s="24" t="n">
        <x:v>1.3085082173347473e-7</x:v>
      </x:c>
    </x:row>
    <x:row r="16" ht="65" customHeight="1">
      <x:c r="A16" s="8" t="str">
        <x:v>检验方法</x:v>
      </x:c>
      <x:c r="B16" s="8" t="str">
        <x:v>McNemar精确双侧；差值区间为配对差值正态近似95%区间；仅1项预设检验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2" hidden="0" customWidth="1"/>
    <x:col min="2" max="2" width="22" hidden="0" customWidth="1"/>
    <x:col min="3" max="3" width="82" hidden="0" customWidth="1"/>
  </x:cols>
  <x:sheetData>
    <x:row r="1" ht="29" customHeight="1">
      <x:c r="A1" s="3"/>
      <x:c r="B1" s="3"/>
      <x:c r="C1" s="3"/>
    </x:row>
    <x:row r="2" ht="36" customHeight="1">
      <x:c r="A2" s="5" t="str">
        <x:v>样本与路由检查</x:v>
      </x:c>
      <x:c r="B2" s="3"/>
      <x:c r="C2" s="3"/>
    </x:row>
    <x:row r="3" ht="29" customHeight="1">
      <x:c r="A3" s="3"/>
      <x:c r="B3" s="3"/>
      <x:c r="C3" s="3"/>
    </x:row>
    <x:row r="4" ht="35" customHeight="1">
      <x:c r="A4" s="7" t="str">
        <x:v>检查项</x:v>
      </x:c>
      <x:c r="B4" s="7" t="str">
        <x:v>结果</x:v>
      </x:c>
      <x:c r="C4" s="7" t="str">
        <x:v>说明</x:v>
      </x:c>
    </x:row>
    <x:row r="5" ht="29" customHeight="1">
      <x:c r="A5" s="3" t="str">
        <x:v>输入记录数</x:v>
      </x:c>
      <x:c r="B5" s="3" t="n">
        <x:v>120</x:v>
      </x:c>
      <x:c r="C5" s="3" t="str">
        <x:v>120份合成记录，无真实受访者</x:v>
      </x:c>
    </x:row>
    <x:row r="6" ht="29" customHeight="1">
      <x:c r="A6" s="8" t="str">
        <x:v>不同ID</x:v>
      </x:c>
      <x:c r="B6" s="8" t="n">
        <x:v>120</x:v>
      </x:c>
      <x:c r="C6" s="8" t="str">
        <x:v>一人一份，不剔除记录</x:v>
      </x:c>
    </x:row>
    <x:row r="7" ht="29" customHeight="1">
      <x:c r="A7" s="3" t="str">
        <x:v>Q3未答</x:v>
      </x:c>
      <x:c r="B7" s="3" t="n">
        <x:v>6</x:v>
      </x:c>
      <x:c r="C7" s="3" t="str">
        <x:v>四个选项保持空白，从该题分母排除</x:v>
      </x:c>
    </x:row>
    <x:row r="8" ht="29" customHeight="1">
      <x:c r="A8" s="8" t="str">
        <x:v>售后符合资格</x:v>
      </x:c>
      <x:c r="B8" s="8" t="n">
        <x:v>30</x:v>
      </x:c>
      <x:c r="C8" s="8" t="str">
        <x:v>Q5=1</x:v>
      </x:c>
    </x:row>
    <x:row r="9" ht="29" customHeight="1">
      <x:c r="A9" s="3" t="str">
        <x:v>售后符合资格但未答</x:v>
      </x:c>
      <x:c r="B9" s="3" t="n">
        <x:v>2</x:v>
      </x:c>
      <x:c r="C9" s="3" t="str">
        <x:v>从Q6有效回答分母排除</x:v>
      </x:c>
    </x:row>
    <x:row r="10" ht="29" customHeight="1">
      <x:c r="A10" s="8" t="str">
        <x:v>售后路由异常</x:v>
      </x:c>
      <x:c r="B10" s="8" t="n">
        <x:v>0</x:v>
      </x:c>
      <x:c r="C10" s="8" t="str">
        <x:v>Q5=0却填写Q6的记录数</x:v>
      </x:c>
    </x:row>
    <x:row r="11" ht="29" customHeight="1">
      <x:c r="A11" s="3" t="str">
        <x:v>前后配对缺失</x:v>
      </x:c>
      <x:c r="B11" s="3" t="n">
        <x:v>6</x:v>
      </x:c>
      <x:c r="C11" s="3" t="str">
        <x:v>该人仍保留其他题结果，仅配对检验排除</x:v>
      </x:c>
    </x:row>
    <x:row r="12" ht="29" customHeight="1">
      <x:c r="A12" s="8" t="str">
        <x:v>权重</x:v>
      </x:c>
      <x:c r="B12" s="8" t="str">
        <x:v>无</x:v>
      </x:c>
      <x:c r="C12" s="8" t="str">
        <x:v>本例全部未加权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98" hidden="0" customWidth="1"/>
  </x:cols>
  <x:sheetData>
    <x:row r="1" ht="29" customHeight="1">
      <x:c r="A1" s="3"/>
      <x:c r="B1" s="3"/>
      <x:c r="C1" s="3"/>
    </x:row>
    <x:row r="2" ht="36" customHeight="1">
      <x:c r="A2" s="5" t="str">
        <x:v>问卷字段与选项映射</x:v>
      </x:c>
      <x:c r="B2" s="3"/>
      <x:c r="C2" s="3"/>
    </x:row>
    <x:row r="3" ht="29" customHeight="1">
      <x:c r="A3" s="3"/>
      <x:c r="B3" s="3"/>
      <x:c r="C3" s="3"/>
    </x:row>
    <x:row r="4" ht="35" customHeight="1">
      <x:c r="A4" s="7" t="str">
        <x:v>题号</x:v>
      </x:c>
      <x:c r="B4" s="7" t="str">
        <x:v>变量</x:v>
      </x:c>
      <x:c r="C4" s="7" t="str">
        <x:v>题目／处理</x:v>
      </x:c>
    </x:row>
    <x:row r="5" ht="62" customHeight="1">
      <x:c r="A5" s="3" t="str">
        <x:v>Q1</x:v>
      </x:c>
      <x:c r="B5" s="3" t="str">
        <x:v>pet</x:v>
      </x:c>
      <x:c r="C5" s="3" t="str">
        <x:v>家中是否养宠物？ 养宠 / 无宠</x:v>
      </x:c>
    </x:row>
    <x:row r="6" ht="62" customHeight="1">
      <x:c r="A6" s="8" t="str">
        <x:v>Q2</x:v>
      </x:c>
      <x:c r="B6" s="8" t="str">
        <x:v>frequency</x:v>
      </x:c>
      <x:c r="C6" s="8" t="str">
        <x:v>过去一周使用扫地机器人的天数？ 1—2天 / 3—4天 / 5—7天</x:v>
      </x:c>
    </x:row>
    <x:row r="7" ht="62" customHeight="1">
      <x:c r="A7" s="3" t="str">
        <x:v>Q3</x:v>
      </x:c>
      <x:c r="B7" s="3" t="str">
        <x:v>problems</x:v>
      </x:c>
      <x:c r="C7" s="3" t="str">
        <x:v>过去一个月遇到过哪些问题？（多选） 毛发缠绕 / 边角清洁不净 / 噪音影响 / 清洗维护费时</x:v>
      </x:c>
    </x:row>
    <x:row r="8" ht="62" customHeight="1">
      <x:c r="A8" s="8" t="str">
        <x:v>Q4</x:v>
      </x:c>
      <x:c r="B8" s="8" t="str">
        <x:v>satisfaction</x:v>
      </x:c>
      <x:c r="C8" s="8" t="str">
        <x:v>对现用机器人的总体满意度？ 非常不满意 / 比较不满意 / 一般 / 比较满意 / 非常满意</x:v>
      </x:c>
    </x:row>
    <x:row r="9" ht="62" customHeight="1">
      <x:c r="A9" s="3" t="str">
        <x:v>Q5</x:v>
      </x:c>
      <x:c r="B9" s="3" t="str">
        <x:v>support</x:v>
      </x:c>
      <x:c r="C9" s="3" t="str">
        <x:v>过去半年是否联系过售后？ 联系过 / 没有</x:v>
      </x:c>
    </x:row>
    <x:row r="10" ht="62" customHeight="1">
      <x:c r="A10" s="8" t="str">
        <x:v>Q6</x:v>
      </x:c>
      <x:c r="B10" s="8" t="str">
        <x:v>support_score</x:v>
      </x:c>
      <x:c r="C10" s="8" t="str">
        <x:v>对最近一次售后服务的满意度？ 非常不满意 / 比较不满意 / 一般 / 比较满意 / 非常满意</x:v>
      </x:c>
    </x:row>
    <x:row r="11" ht="62" customHeight="1">
      <x:c r="A11" s="3" t="str">
        <x:v>Q7</x:v>
      </x:c>
      <x:c r="B11" s="3" t="str">
        <x:v>recommend</x:v>
      </x:c>
      <x:c r="C11" s="3" t="str">
        <x:v>向亲友推荐现用机器人的意愿？ 0分 / 1分 / 2分 / 3分 / 4分 / 5分 / 6分 / 7分 / 8分 / 9分 / 10分</x:v>
      </x:c>
    </x:row>
    <x:row r="12" ht="62" customHeight="1">
      <x:c r="A12" s="8" t="str">
        <x:v>Q8</x:v>
      </x:c>
      <x:c r="B12" s="8" t="str">
        <x:v>before</x:v>
      </x:c>
      <x:c r="C12" s="8" t="str">
        <x:v>体验前对新产品的购买兴趣？ 1分 / 2分 / 3分 / 4分 / 5分</x:v>
      </x:c>
    </x:row>
    <x:row r="13" ht="62" customHeight="1">
      <x:c r="A13" s="3" t="str">
        <x:v>Q9</x:v>
      </x:c>
      <x:c r="B13" s="3" t="str">
        <x:v>after</x:v>
      </x:c>
      <x:c r="C13" s="3" t="str">
        <x:v>体验后对新产品的购买兴趣？ 1分 / 2分 / 3分 / 4分 / 5分</x:v>
      </x:c>
    </x:row>
  </x:sheetData>
  <x:pageMargins left="0.7" right="0.7" top="0.75" bottom="0.75" header="0.3" footer="0.3"/>
</x:worksheet>
</file>